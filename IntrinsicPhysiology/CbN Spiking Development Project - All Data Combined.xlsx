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"/>
    </mc:Choice>
  </mc:AlternateContent>
  <xr:revisionPtr revIDLastSave="0" documentId="13_ncr:1_{7178DBF4-4A84-4664-9DFF-EAAF403879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hole Cell - All Data" sheetId="1" r:id="rId1"/>
    <sheet name="Cell Attached - Al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s/Rki72X7Fu6eQ4InbwUGwUB57o92EdeUpZxRT5j7Y="/>
    </ext>
  </extLst>
</workbook>
</file>

<file path=xl/calcChain.xml><?xml version="1.0" encoding="utf-8"?>
<calcChain xmlns="http://schemas.openxmlformats.org/spreadsheetml/2006/main">
  <c r="E36" i="1" l="1"/>
  <c r="E38" i="1"/>
  <c r="E39" i="1"/>
  <c r="E40" i="1"/>
  <c r="E41" i="1"/>
  <c r="E52" i="2"/>
  <c r="E51" i="2"/>
  <c r="E50" i="2" l="1"/>
  <c r="F52" i="2"/>
  <c r="G52" i="2"/>
  <c r="F50" i="2"/>
  <c r="G50" i="2"/>
  <c r="F48" i="2"/>
  <c r="G48" i="2"/>
  <c r="E48" i="2"/>
  <c r="F51" i="2"/>
  <c r="G51" i="2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U25" i="1"/>
  <c r="U24" i="1"/>
  <c r="R25" i="1"/>
  <c r="R24" i="1"/>
  <c r="R41" i="1"/>
  <c r="R7" i="1"/>
  <c r="R40" i="1"/>
  <c r="R39" i="1"/>
  <c r="R23" i="1"/>
  <c r="R38" i="1"/>
  <c r="R37" i="1"/>
  <c r="F41" i="1"/>
  <c r="G41" i="1"/>
  <c r="H41" i="1"/>
  <c r="I41" i="1"/>
  <c r="J41" i="1"/>
  <c r="K41" i="1"/>
  <c r="L41" i="1"/>
  <c r="M41" i="1"/>
  <c r="N41" i="1"/>
  <c r="O41" i="1"/>
  <c r="P41" i="1"/>
  <c r="Q41" i="1"/>
  <c r="S41" i="1"/>
  <c r="T41" i="1"/>
  <c r="U41" i="1"/>
  <c r="V41" i="1"/>
  <c r="W41" i="1"/>
  <c r="X41" i="1"/>
  <c r="F40" i="1"/>
  <c r="G40" i="1"/>
  <c r="H40" i="1"/>
  <c r="I40" i="1"/>
  <c r="J40" i="1"/>
  <c r="K40" i="1"/>
  <c r="L40" i="1"/>
  <c r="M40" i="1"/>
  <c r="N40" i="1"/>
  <c r="O40" i="1"/>
  <c r="P40" i="1"/>
  <c r="Q40" i="1"/>
  <c r="S40" i="1"/>
  <c r="T40" i="1"/>
  <c r="U40" i="1"/>
  <c r="V40" i="1"/>
  <c r="W40" i="1"/>
  <c r="X40" i="1"/>
  <c r="F39" i="1"/>
  <c r="G39" i="1"/>
  <c r="H39" i="1"/>
  <c r="I39" i="1"/>
  <c r="J39" i="1"/>
  <c r="K39" i="1"/>
  <c r="L39" i="1"/>
  <c r="M39" i="1"/>
  <c r="N39" i="1"/>
  <c r="O39" i="1"/>
  <c r="P39" i="1"/>
  <c r="Q39" i="1"/>
  <c r="S39" i="1"/>
  <c r="T39" i="1"/>
  <c r="U39" i="1"/>
  <c r="V39" i="1"/>
  <c r="W39" i="1"/>
  <c r="X39" i="1"/>
  <c r="F38" i="1"/>
  <c r="G38" i="1"/>
  <c r="H38" i="1"/>
  <c r="I38" i="1"/>
  <c r="J38" i="1"/>
  <c r="K38" i="1"/>
  <c r="L38" i="1"/>
  <c r="M38" i="1"/>
  <c r="N38" i="1"/>
  <c r="O38" i="1"/>
  <c r="P38" i="1"/>
  <c r="Q38" i="1"/>
  <c r="S38" i="1"/>
  <c r="T38" i="1"/>
  <c r="U38" i="1"/>
  <c r="V38" i="1"/>
  <c r="W38" i="1"/>
  <c r="X38" i="1"/>
  <c r="F37" i="1"/>
  <c r="G37" i="1"/>
  <c r="H37" i="1"/>
  <c r="I37" i="1"/>
  <c r="J37" i="1"/>
  <c r="K37" i="1"/>
  <c r="L37" i="1"/>
  <c r="M37" i="1"/>
  <c r="N37" i="1"/>
  <c r="O37" i="1"/>
  <c r="P37" i="1"/>
  <c r="Q37" i="1"/>
  <c r="S37" i="1"/>
  <c r="T37" i="1"/>
  <c r="U37" i="1"/>
  <c r="V37" i="1"/>
  <c r="W37" i="1"/>
  <c r="X37" i="1"/>
  <c r="E37" i="1"/>
  <c r="U21" i="1"/>
  <c r="U22" i="1"/>
  <c r="U23" i="1"/>
  <c r="U18" i="1"/>
  <c r="U19" i="1"/>
  <c r="U20" i="1"/>
  <c r="R22" i="1" l="1"/>
  <c r="R21" i="1" l="1"/>
  <c r="R20" i="1" l="1"/>
  <c r="R19" i="1"/>
  <c r="R18" i="1"/>
  <c r="R3" i="1"/>
  <c r="R4" i="1"/>
  <c r="R5" i="1"/>
  <c r="R6" i="1"/>
  <c r="R8" i="1"/>
  <c r="R9" i="1"/>
  <c r="R10" i="1"/>
  <c r="R11" i="1"/>
  <c r="R12" i="1"/>
  <c r="R13" i="1"/>
  <c r="R14" i="1"/>
  <c r="R15" i="1"/>
  <c r="R16" i="1"/>
  <c r="R17" i="1"/>
  <c r="R2" i="1"/>
  <c r="U16" i="1"/>
  <c r="U17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<sst xmlns="http://schemas.openxmlformats.org/spreadsheetml/2006/main" count="371" uniqueCount="136">
  <si>
    <t>Cell_ID</t>
  </si>
  <si>
    <t>Rec_ID</t>
  </si>
  <si>
    <t>Age</t>
  </si>
  <si>
    <t>Threshold (mV)</t>
  </si>
  <si>
    <t>Threshold Time (ms)</t>
  </si>
  <si>
    <t>Amplitude (mV)</t>
  </si>
  <si>
    <t>Peak Time (ms)</t>
  </si>
  <si>
    <t>AHP (mV)</t>
  </si>
  <si>
    <t>AHP Time (ms)</t>
  </si>
  <si>
    <t>Interevent Interval (ms)</t>
  </si>
  <si>
    <t>Maximum dV/dt (V/s)</t>
  </si>
  <si>
    <t>Minimum dV/dt (V/s)</t>
  </si>
  <si>
    <t>Half-width (ms)</t>
  </si>
  <si>
    <t>Spontaneous Rate (spike/s)</t>
  </si>
  <si>
    <t>Rseries (Start) (MΩ)</t>
  </si>
  <si>
    <t>Rseries (Finish) (MΩ)</t>
  </si>
  <si>
    <t>Δ Rseries</t>
  </si>
  <si>
    <t>Holding Current (pA)</t>
  </si>
  <si>
    <t>Capacitance (pF)</t>
  </si>
  <si>
    <t>Membrane Resistance (MΩ)</t>
  </si>
  <si>
    <t>Notes</t>
  </si>
  <si>
    <t>Analysis Notes</t>
  </si>
  <si>
    <t>251124_CbN_p4_c1</t>
  </si>
  <si>
    <t>R6</t>
  </si>
  <si>
    <t>p4</t>
  </si>
  <si>
    <t>251204_CbN_p14_c1</t>
  </si>
  <si>
    <t>p14</t>
  </si>
  <si>
    <t>251204_CbN_p14_c4</t>
  </si>
  <si>
    <t>R5</t>
  </si>
  <si>
    <t>251204_CbN_p14_c6</t>
  </si>
  <si>
    <t>R2</t>
  </si>
  <si>
    <t>251204_CbN_p14_c7</t>
  </si>
  <si>
    <t>251208_CbN_p18_c4</t>
  </si>
  <si>
    <t>R8</t>
  </si>
  <si>
    <t>p18</t>
  </si>
  <si>
    <t>251208_CbN_p18_c5</t>
  </si>
  <si>
    <t>251208_CbN_p18_c7</t>
  </si>
  <si>
    <t>R11</t>
  </si>
  <si>
    <t>Rseries is highish</t>
  </si>
  <si>
    <t>251212_CbN_p13_c3</t>
  </si>
  <si>
    <t>p13</t>
  </si>
  <si>
    <t>Rseries change was high</t>
  </si>
  <si>
    <t>251212_CbN_p13_c5</t>
  </si>
  <si>
    <t>251212_CbN_p13_c6</t>
  </si>
  <si>
    <t>251212_CbN_p13_c7</t>
  </si>
  <si>
    <t>Rseries was high</t>
  </si>
  <si>
    <t>251212_CbN_p13_c8</t>
  </si>
  <si>
    <t>251212_CbN_p13_c9</t>
  </si>
  <si>
    <t>260210_CbN_p21_c2</t>
  </si>
  <si>
    <t>p21</t>
  </si>
  <si>
    <t>Beautiful firing in adult</t>
  </si>
  <si>
    <t>Group Averages</t>
  </si>
  <si>
    <t>Animals</t>
  </si>
  <si>
    <t>Cells</t>
  </si>
  <si>
    <t>p12-15</t>
  </si>
  <si>
    <t>260211_CbN_p22_c1</t>
  </si>
  <si>
    <t>p22</t>
  </si>
  <si>
    <t>Number of Events</t>
  </si>
  <si>
    <t>Length of Recording Analyzed (s)</t>
  </si>
  <si>
    <t>260215_CbN_p10_c3 (really cell 4)</t>
  </si>
  <si>
    <t>p10</t>
  </si>
  <si>
    <t>260215_CbN_p10_c7</t>
  </si>
  <si>
    <t>260215_CbN_p10_c8</t>
  </si>
  <si>
    <t>p10-12</t>
  </si>
  <si>
    <t>p7-9</t>
  </si>
  <si>
    <t>p4-6</t>
  </si>
  <si>
    <t>p16-18</t>
  </si>
  <si>
    <t>p19+</t>
  </si>
  <si>
    <t>R1</t>
  </si>
  <si>
    <t>R3</t>
  </si>
  <si>
    <t>p15</t>
  </si>
  <si>
    <t>Frequency (Hz)</t>
  </si>
  <si>
    <t>Rseries (MΩ)</t>
  </si>
  <si>
    <t>260220_CbN_p15_c2 (cell 3)</t>
  </si>
  <si>
    <t>260220_CbN_p15_c2 (cell 4)</t>
  </si>
  <si>
    <t>260220_CbN_p15_c2 (cell 5)</t>
  </si>
  <si>
    <t>260220_CbN_p15_c2 (cell 2)</t>
  </si>
  <si>
    <t>260220_CbN_p15_c1 (cell 1)</t>
  </si>
  <si>
    <t>p20</t>
  </si>
  <si>
    <t>AVG Interevent Interval (ms)</t>
  </si>
  <si>
    <t>260227_CbN_p22_c1 (cell 1)</t>
  </si>
  <si>
    <t>260227_CbN_p22_c1 (cell 2)</t>
  </si>
  <si>
    <t>260227_CbN_p22_c2 (cell 3)</t>
  </si>
  <si>
    <t>260227_CbN_p22_c3 (cell 4)</t>
  </si>
  <si>
    <t>260227_CbN_p22_c3 (cell 5)</t>
  </si>
  <si>
    <t>260227_CbN_p22_c3 (cell 6)</t>
  </si>
  <si>
    <t>260227_CbN_p22_c4 (cell 7)</t>
  </si>
  <si>
    <t>260227_CbN_p22_c4 (cell 8)</t>
  </si>
  <si>
    <t>260227_CbN_p22_c4 (cell 9)</t>
  </si>
  <si>
    <t>260227_CbN_p22_c4 (cell 10)</t>
  </si>
  <si>
    <t>260227_CbN_p22_c4 (cell 11)</t>
  </si>
  <si>
    <t>R9</t>
  </si>
  <si>
    <t>R4</t>
  </si>
  <si>
    <t>260225_CbN_p20_c4 (cell 1)</t>
  </si>
  <si>
    <t>260225_CbN_p20_c4 (cell 2)</t>
  </si>
  <si>
    <t>260225_CbN_p20_c5 (cell 3)</t>
  </si>
  <si>
    <t>260225_CbN_p20_c5 (cell 4)</t>
  </si>
  <si>
    <t>260225_CbN_p20_c5 (cell 5)</t>
  </si>
  <si>
    <t>260225_CbN_p20_c6 (cell 6)</t>
  </si>
  <si>
    <t>p27</t>
  </si>
  <si>
    <t>Genotype</t>
  </si>
  <si>
    <t>WT</t>
  </si>
  <si>
    <t>260301_CbN_p27_c4 (cell 1)</t>
  </si>
  <si>
    <t>Not sure these were in nucleus, switched slices</t>
  </si>
  <si>
    <t>CalbCre-Ai14</t>
  </si>
  <si>
    <t>260331_CbN_p15_c2</t>
  </si>
  <si>
    <t>260306_CbN_p9_c1 (cell 1)</t>
  </si>
  <si>
    <t>260306_CbN_p9_c1 (cell 2)</t>
  </si>
  <si>
    <t>260306_CbN_p9_c1 (cell 3)</t>
  </si>
  <si>
    <t>260306_CbN_p9_c1 (cell 4)</t>
  </si>
  <si>
    <t>260306_CbN_p9_c1 (cell 5)</t>
  </si>
  <si>
    <t>R12</t>
  </si>
  <si>
    <t>260306_CbN_p9_c2</t>
  </si>
  <si>
    <t>p9</t>
  </si>
  <si>
    <t>260320_CbN_p23_c1</t>
  </si>
  <si>
    <t>260329_CbN_p13_c1</t>
  </si>
  <si>
    <t>260329_CbN_p13_c2</t>
  </si>
  <si>
    <t>260329_CbN_p13_c3</t>
  </si>
  <si>
    <t>260329_CbN_p13_c4</t>
  </si>
  <si>
    <t>Max/Min dV/dt</t>
  </si>
  <si>
    <t>Soma</t>
  </si>
  <si>
    <t>AIS</t>
  </si>
  <si>
    <t>AP Initiation Site</t>
  </si>
  <si>
    <t>Number of Events (in 10s)</t>
  </si>
  <si>
    <t>AIS?</t>
  </si>
  <si>
    <t>260405_CbN_p5_c1</t>
  </si>
  <si>
    <t>260405_CbN_p5_c3</t>
  </si>
  <si>
    <t>p5</t>
  </si>
  <si>
    <t>Beautiful!</t>
  </si>
  <si>
    <t>Used 20 ms event time</t>
  </si>
  <si>
    <t>Used 10ms event time</t>
  </si>
  <si>
    <t>Used 5ms event time</t>
  </si>
  <si>
    <t>260422_CbN_p18_c1 (cell 1)</t>
  </si>
  <si>
    <t>260422_CbN_p18_c2 (cell 3)</t>
  </si>
  <si>
    <t>260422_CbN_p18_c2 (cell 2)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</si>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</sst>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Arial"/>
      <family val="2"/>
    </font>
    <font>
      <sz val="8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6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9" fontId="4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right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0" fillId="0" borderId="10" xfId="0" applyBorder="1"/>
    <xf numFmtId="0" fontId="3" fillId="2" borderId="9" xfId="0" applyFon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2" fontId="3" fillId="0" borderId="12" xfId="0" applyNumberFormat="1" applyFont="1" applyBorder="1" applyAlignment="1">
      <alignment horizontal="center"/>
    </xf>
    <xf numFmtId="0" fontId="0" fillId="0" borderId="13" xfId="0" applyBorder="1"/>
    <xf numFmtId="0" fontId="3" fillId="0" borderId="7" xfId="0" applyFont="1" applyBorder="1" applyAlignment="1">
      <alignment horizontal="left"/>
    </xf>
    <xf numFmtId="0" fontId="0" fillId="0" borderId="8" xfId="0" applyBorder="1"/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2" fontId="3" fillId="0" borderId="15" xfId="0" applyNumberFormat="1" applyFont="1" applyBorder="1" applyAlignment="1">
      <alignment horizontal="right"/>
    </xf>
    <xf numFmtId="9" fontId="3" fillId="0" borderId="15" xfId="0" applyNumberFormat="1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3" fillId="0" borderId="12" xfId="0" applyNumberFormat="1" applyFont="1" applyBorder="1" applyAlignment="1">
      <alignment horizontal="right"/>
    </xf>
    <xf numFmtId="0" fontId="3" fillId="0" borderId="12" xfId="0" applyFont="1" applyBorder="1" applyAlignment="1">
      <alignment horizontal="left"/>
    </xf>
    <xf numFmtId="0" fontId="4" fillId="3" borderId="3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2" fontId="3" fillId="0" borderId="20" xfId="0" applyNumberFormat="1" applyFont="1" applyBorder="1" applyAlignment="1">
      <alignment horizontal="right"/>
    </xf>
    <xf numFmtId="2" fontId="3" fillId="0" borderId="21" xfId="0" applyNumberFormat="1" applyFont="1" applyBorder="1" applyAlignment="1">
      <alignment horizontal="right"/>
    </xf>
    <xf numFmtId="2" fontId="3" fillId="0" borderId="22" xfId="0" applyNumberFormat="1" applyFont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14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9" fontId="3" fillId="0" borderId="1" xfId="1" applyFont="1" applyBorder="1" applyAlignment="1">
      <alignment horizontal="right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9" fontId="3" fillId="0" borderId="3" xfId="1" applyFont="1" applyBorder="1" applyAlignment="1">
      <alignment horizontal="right"/>
    </xf>
    <xf numFmtId="9" fontId="3" fillId="0" borderId="12" xfId="1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16"/>
  <sheetViews>
    <sheetView tabSelected="1" topLeftCell="A15" workbookViewId="0">
      <selection activeCell="G33" sqref="G33"/>
    </sheetView>
  </sheetViews>
  <sheetFormatPr defaultColWidth="12.5703125" defaultRowHeight="15" customHeight="1" x14ac:dyDescent="0.2"/>
  <cols>
    <col min="1" max="1" width="37.42578125" style="5" bestFit="1" customWidth="1"/>
    <col min="2" max="2" width="10.5703125" style="5" bestFit="1" customWidth="1"/>
    <col min="3" max="3" width="8.42578125" style="5" bestFit="1" customWidth="1"/>
    <col min="4" max="4" width="14.28515625" style="5" bestFit="1" customWidth="1"/>
    <col min="5" max="5" width="22.140625" style="5" bestFit="1" customWidth="1"/>
    <col min="6" max="6" width="29.28515625" style="5" bestFit="1" customWidth="1"/>
    <col min="7" max="7" width="21.7109375" style="5" bestFit="1" customWidth="1"/>
    <col min="8" max="8" width="22" style="5" bestFit="1" customWidth="1"/>
    <col min="9" max="9" width="13.7109375" style="5" bestFit="1" customWidth="1"/>
    <col min="10" max="10" width="20.85546875" style="5" bestFit="1" customWidth="1"/>
    <col min="11" max="11" width="32.28515625" style="5" bestFit="1" customWidth="1"/>
    <col min="12" max="12" width="28.85546875" style="5" bestFit="1" customWidth="1"/>
    <col min="13" max="13" width="28.140625" style="5" bestFit="1" customWidth="1"/>
    <col min="14" max="14" width="28.140625" style="5" customWidth="1"/>
    <col min="15" max="15" width="21" style="5" bestFit="1" customWidth="1"/>
    <col min="16" max="16" width="36" style="5" bestFit="1" customWidth="1"/>
    <col min="17" max="17" width="46.28515625" style="5" bestFit="1" customWidth="1"/>
    <col min="18" max="18" width="38.42578125" style="5" bestFit="1" customWidth="1"/>
    <col min="19" max="19" width="27.5703125" style="5" bestFit="1" customWidth="1"/>
    <col min="20" max="20" width="29.42578125" style="5" bestFit="1" customWidth="1"/>
    <col min="21" max="21" width="14.140625" style="5" bestFit="1" customWidth="1"/>
    <col min="22" max="22" width="28.85546875" style="5" bestFit="1" customWidth="1"/>
    <col min="23" max="23" width="24" style="5" bestFit="1" customWidth="1"/>
    <col min="24" max="24" width="38.7109375" style="5" bestFit="1" customWidth="1"/>
    <col min="25" max="25" width="23.140625" style="5" bestFit="1" customWidth="1"/>
    <col min="26" max="26" width="36.5703125" style="5" bestFit="1" customWidth="1"/>
    <col min="27" max="27" width="78.85546875" style="5" bestFit="1" customWidth="1"/>
    <col min="28" max="30" width="8.85546875" style="5" customWidth="1"/>
    <col min="31" max="16384" width="12.5703125" style="5"/>
  </cols>
  <sheetData>
    <row r="1" spans="1:30" s="3" customFormat="1" ht="18.75" thickBot="1" x14ac:dyDescent="0.3">
      <c r="A1" s="58" t="s">
        <v>0</v>
      </c>
      <c r="B1" s="59" t="s">
        <v>1</v>
      </c>
      <c r="C1" s="59" t="s">
        <v>2</v>
      </c>
      <c r="D1" s="59" t="s">
        <v>100</v>
      </c>
      <c r="E1" s="59" t="s">
        <v>3</v>
      </c>
      <c r="F1" s="59" t="s">
        <v>4</v>
      </c>
      <c r="G1" s="59" t="s">
        <v>5</v>
      </c>
      <c r="H1" s="59" t="s">
        <v>6</v>
      </c>
      <c r="I1" s="59" t="s">
        <v>7</v>
      </c>
      <c r="J1" s="59" t="s">
        <v>8</v>
      </c>
      <c r="K1" s="59" t="s">
        <v>9</v>
      </c>
      <c r="L1" s="59" t="s">
        <v>10</v>
      </c>
      <c r="M1" s="59" t="s">
        <v>11</v>
      </c>
      <c r="N1" s="59" t="s">
        <v>119</v>
      </c>
      <c r="O1" s="59" t="s">
        <v>12</v>
      </c>
      <c r="P1" s="59" t="s">
        <v>57</v>
      </c>
      <c r="Q1" s="59" t="s">
        <v>58</v>
      </c>
      <c r="R1" s="73" t="s">
        <v>13</v>
      </c>
      <c r="S1" s="81" t="s">
        <v>14</v>
      </c>
      <c r="T1" s="59" t="s">
        <v>15</v>
      </c>
      <c r="U1" s="59" t="s">
        <v>16</v>
      </c>
      <c r="V1" s="59" t="s">
        <v>17</v>
      </c>
      <c r="W1" s="59" t="s">
        <v>18</v>
      </c>
      <c r="X1" s="82" t="s">
        <v>19</v>
      </c>
      <c r="Y1" s="77" t="s">
        <v>122</v>
      </c>
      <c r="Z1" s="60" t="s">
        <v>20</v>
      </c>
      <c r="AA1" s="61" t="s">
        <v>21</v>
      </c>
      <c r="AB1" s="1"/>
      <c r="AC1" s="1"/>
      <c r="AD1" s="1"/>
    </row>
    <row r="2" spans="1:30" x14ac:dyDescent="0.2">
      <c r="A2" s="62" t="s">
        <v>22</v>
      </c>
      <c r="B2" s="63" t="s">
        <v>23</v>
      </c>
      <c r="C2" s="63" t="s">
        <v>24</v>
      </c>
      <c r="D2" s="63" t="s">
        <v>101</v>
      </c>
      <c r="E2" s="64">
        <v>-48.08069864583333</v>
      </c>
      <c r="F2" s="64">
        <v>-0.67604165833333374</v>
      </c>
      <c r="G2" s="64">
        <v>13.098525937500002</v>
      </c>
      <c r="H2" s="64">
        <v>0.43958332333333372</v>
      </c>
      <c r="I2" s="64">
        <v>-63.240050979166696</v>
      </c>
      <c r="J2" s="64">
        <v>29.844791437499993</v>
      </c>
      <c r="K2" s="64">
        <v>207.17340191489365</v>
      </c>
      <c r="L2" s="64">
        <v>109.38517395833334</v>
      </c>
      <c r="M2" s="64">
        <v>-33.526102562500007</v>
      </c>
      <c r="N2" s="64">
        <v>3.262686849878103</v>
      </c>
      <c r="O2" s="63">
        <v>1.7340981499999999</v>
      </c>
      <c r="P2" s="63">
        <v>48</v>
      </c>
      <c r="Q2" s="63">
        <v>10</v>
      </c>
      <c r="R2" s="74">
        <f>P2/Q2</f>
        <v>4.8</v>
      </c>
      <c r="S2" s="83">
        <v>21.2</v>
      </c>
      <c r="T2" s="63">
        <v>18.600000000000001</v>
      </c>
      <c r="U2" s="65">
        <f t="shared" ref="U2:U25" si="0">ABS((S2-T2)/S2)</f>
        <v>0.12264150943396217</v>
      </c>
      <c r="V2" s="63">
        <v>-14</v>
      </c>
      <c r="W2" s="63">
        <v>35.1</v>
      </c>
      <c r="X2" s="84">
        <v>787</v>
      </c>
      <c r="Y2" s="78" t="s">
        <v>120</v>
      </c>
      <c r="Z2" s="89"/>
      <c r="AA2" s="92" t="s">
        <v>129</v>
      </c>
      <c r="AB2" s="4"/>
      <c r="AC2" s="4"/>
      <c r="AD2" s="4"/>
    </row>
    <row r="3" spans="1:30" x14ac:dyDescent="0.2">
      <c r="A3" s="50" t="s">
        <v>25</v>
      </c>
      <c r="B3" s="11" t="s">
        <v>23</v>
      </c>
      <c r="C3" s="11" t="s">
        <v>26</v>
      </c>
      <c r="D3" s="11" t="s">
        <v>101</v>
      </c>
      <c r="E3" s="13">
        <v>-46.118656310483885</v>
      </c>
      <c r="F3" s="13">
        <v>-0.66874999435484017</v>
      </c>
      <c r="G3" s="13">
        <v>26.293280899193551</v>
      </c>
      <c r="H3" s="13">
        <v>0.29133065516129075</v>
      </c>
      <c r="I3" s="13">
        <v>-52.538299556451612</v>
      </c>
      <c r="J3" s="13">
        <v>13.445161290322584</v>
      </c>
      <c r="K3" s="13">
        <v>40.333603534412951</v>
      </c>
      <c r="L3" s="13">
        <v>203.25765318548395</v>
      </c>
      <c r="M3" s="13">
        <v>-65.418612838709649</v>
      </c>
      <c r="N3" s="13">
        <v>3.1070309253823227</v>
      </c>
      <c r="O3" s="13">
        <v>0.98468395354838678</v>
      </c>
      <c r="P3" s="11">
        <v>248</v>
      </c>
      <c r="Q3" s="11">
        <v>10</v>
      </c>
      <c r="R3" s="75">
        <f t="shared" ref="R3:R25" si="1">P3/Q3</f>
        <v>24.8</v>
      </c>
      <c r="S3" s="41">
        <v>11.6</v>
      </c>
      <c r="T3" s="11">
        <v>13.4</v>
      </c>
      <c r="U3" s="14">
        <f t="shared" si="0"/>
        <v>0.15517241379310351</v>
      </c>
      <c r="V3" s="11">
        <v>-64</v>
      </c>
      <c r="W3" s="11">
        <v>32.5</v>
      </c>
      <c r="X3" s="85">
        <v>301.89999999999998</v>
      </c>
      <c r="Y3" s="79" t="s">
        <v>121</v>
      </c>
      <c r="Z3" s="90"/>
      <c r="AA3" s="93" t="s">
        <v>129</v>
      </c>
      <c r="AB3" s="4"/>
      <c r="AC3" s="4"/>
      <c r="AD3" s="4"/>
    </row>
    <row r="4" spans="1:30" x14ac:dyDescent="0.2">
      <c r="A4" s="50" t="s">
        <v>27</v>
      </c>
      <c r="B4" s="11" t="s">
        <v>28</v>
      </c>
      <c r="C4" s="11" t="s">
        <v>26</v>
      </c>
      <c r="D4" s="11" t="s">
        <v>101</v>
      </c>
      <c r="E4" s="13">
        <v>-45.581916329411769</v>
      </c>
      <c r="F4" s="13">
        <v>-0.47176470894117706</v>
      </c>
      <c r="G4" s="13">
        <v>21.632726223529414</v>
      </c>
      <c r="H4" s="13">
        <v>0.29000000999999986</v>
      </c>
      <c r="I4" s="13">
        <v>-59.254653117647059</v>
      </c>
      <c r="J4" s="13">
        <v>14.885882352941174</v>
      </c>
      <c r="K4" s="13">
        <v>116.67083178571424</v>
      </c>
      <c r="L4" s="13">
        <v>179.83972894117647</v>
      </c>
      <c r="M4" s="13">
        <v>-65.342084129411774</v>
      </c>
      <c r="N4" s="13">
        <v>2.7522802698640434</v>
      </c>
      <c r="O4" s="13">
        <v>0.96682790647058814</v>
      </c>
      <c r="P4" s="11">
        <v>85</v>
      </c>
      <c r="Q4" s="11">
        <v>10</v>
      </c>
      <c r="R4" s="75">
        <f t="shared" si="1"/>
        <v>8.5</v>
      </c>
      <c r="S4" s="41">
        <v>13.1</v>
      </c>
      <c r="T4" s="11">
        <v>14.9</v>
      </c>
      <c r="U4" s="14">
        <f t="shared" si="0"/>
        <v>0.13740458015267182</v>
      </c>
      <c r="V4" s="11">
        <v>-30</v>
      </c>
      <c r="W4" s="11">
        <v>70.099999999999994</v>
      </c>
      <c r="X4" s="85">
        <v>274</v>
      </c>
      <c r="Y4" s="79" t="s">
        <v>120</v>
      </c>
      <c r="Z4" s="90"/>
      <c r="AA4" s="93" t="s">
        <v>129</v>
      </c>
      <c r="AB4" s="4"/>
      <c r="AC4" s="4"/>
      <c r="AD4" s="4"/>
    </row>
    <row r="5" spans="1:30" x14ac:dyDescent="0.2">
      <c r="A5" s="50" t="s">
        <v>29</v>
      </c>
      <c r="B5" s="11" t="s">
        <v>30</v>
      </c>
      <c r="C5" s="11" t="s">
        <v>26</v>
      </c>
      <c r="D5" s="11" t="s">
        <v>101</v>
      </c>
      <c r="E5" s="13">
        <v>-41.62578496860985</v>
      </c>
      <c r="F5" s="13">
        <v>-0.68520178641255769</v>
      </c>
      <c r="G5" s="13">
        <v>12.416713015695086</v>
      </c>
      <c r="H5" s="13">
        <v>0.3168161467713011</v>
      </c>
      <c r="I5" s="13">
        <v>-49.980950367713</v>
      </c>
      <c r="J5" s="13">
        <v>14.836322869955136</v>
      </c>
      <c r="K5" s="13">
        <v>44.845269144144162</v>
      </c>
      <c r="L5" s="13">
        <v>94.711235264574015</v>
      </c>
      <c r="M5" s="13">
        <v>-42.10741540358746</v>
      </c>
      <c r="N5" s="13">
        <v>2.2492768638681353</v>
      </c>
      <c r="O5" s="13">
        <v>1.2549350748878918</v>
      </c>
      <c r="P5" s="11">
        <v>223</v>
      </c>
      <c r="Q5" s="11">
        <v>10</v>
      </c>
      <c r="R5" s="75">
        <f t="shared" si="1"/>
        <v>22.3</v>
      </c>
      <c r="S5" s="41">
        <v>13.9</v>
      </c>
      <c r="T5" s="11">
        <v>13.9</v>
      </c>
      <c r="U5" s="14">
        <f t="shared" si="0"/>
        <v>0</v>
      </c>
      <c r="V5" s="11">
        <v>-60</v>
      </c>
      <c r="W5" s="11">
        <v>53</v>
      </c>
      <c r="X5" s="85">
        <v>314.7</v>
      </c>
      <c r="Y5" s="79" t="s">
        <v>121</v>
      </c>
      <c r="Z5" s="90"/>
      <c r="AA5" s="93" t="s">
        <v>129</v>
      </c>
      <c r="AB5" s="4"/>
      <c r="AC5" s="4"/>
      <c r="AD5" s="4"/>
    </row>
    <row r="6" spans="1:30" x14ac:dyDescent="0.2">
      <c r="A6" s="50" t="s">
        <v>31</v>
      </c>
      <c r="B6" s="11" t="s">
        <v>23</v>
      </c>
      <c r="C6" s="11" t="s">
        <v>26</v>
      </c>
      <c r="D6" s="11" t="s">
        <v>101</v>
      </c>
      <c r="E6" s="13">
        <v>-38.66658825352112</v>
      </c>
      <c r="F6" s="13">
        <v>-0.9573943690140837</v>
      </c>
      <c r="G6" s="13">
        <v>7.1872764866197194</v>
      </c>
      <c r="H6" s="13">
        <v>0.61549297246478873</v>
      </c>
      <c r="I6" s="13">
        <v>-49.24174554929575</v>
      </c>
      <c r="J6" s="13">
        <v>14.897887323943628</v>
      </c>
      <c r="K6" s="13">
        <v>70.410637560283703</v>
      </c>
      <c r="L6" s="13">
        <v>61.856122239436637</v>
      </c>
      <c r="M6" s="13">
        <v>-10.898644396478876</v>
      </c>
      <c r="N6" s="13">
        <v>5.6755794564157958</v>
      </c>
      <c r="O6" s="13">
        <v>3.5691381873239441</v>
      </c>
      <c r="P6" s="11">
        <v>142</v>
      </c>
      <c r="Q6" s="11">
        <v>10</v>
      </c>
      <c r="R6" s="75">
        <f t="shared" si="1"/>
        <v>14.2</v>
      </c>
      <c r="S6" s="41">
        <v>16.600000000000001</v>
      </c>
      <c r="T6" s="11">
        <v>17.2</v>
      </c>
      <c r="U6" s="14">
        <f t="shared" si="0"/>
        <v>3.6144578313252879E-2</v>
      </c>
      <c r="V6" s="11">
        <v>-20</v>
      </c>
      <c r="W6" s="11">
        <v>17.600000000000001</v>
      </c>
      <c r="X6" s="85">
        <v>862.6</v>
      </c>
      <c r="Y6" s="79" t="s">
        <v>120</v>
      </c>
      <c r="Z6" s="90"/>
      <c r="AA6" s="93" t="s">
        <v>129</v>
      </c>
      <c r="AB6" s="4"/>
      <c r="AC6" s="4"/>
      <c r="AD6" s="4"/>
    </row>
    <row r="7" spans="1:30" x14ac:dyDescent="0.2">
      <c r="A7" s="50" t="s">
        <v>32</v>
      </c>
      <c r="B7" s="11" t="s">
        <v>33</v>
      </c>
      <c r="C7" s="11" t="s">
        <v>34</v>
      </c>
      <c r="D7" s="11" t="s">
        <v>101</v>
      </c>
      <c r="E7" s="13">
        <v>-51.124353188191904</v>
      </c>
      <c r="F7" s="13">
        <v>-0.66180811413284302</v>
      </c>
      <c r="G7" s="13">
        <v>17.875688265682644</v>
      </c>
      <c r="H7" s="13">
        <v>0.38265681656826445</v>
      </c>
      <c r="I7" s="13">
        <v>-57.372866697416917</v>
      </c>
      <c r="J7" s="13">
        <v>8.75811809298893</v>
      </c>
      <c r="K7" s="13">
        <v>36.910740011111109</v>
      </c>
      <c r="L7" s="13">
        <v>135.80682605166058</v>
      </c>
      <c r="M7" s="13">
        <v>-48.73983819188193</v>
      </c>
      <c r="N7" s="13">
        <v>2.7863618569476594</v>
      </c>
      <c r="O7" s="13">
        <v>1.3775873166051662</v>
      </c>
      <c r="P7" s="11">
        <v>271</v>
      </c>
      <c r="Q7" s="11">
        <v>10</v>
      </c>
      <c r="R7" s="75">
        <f>P7/Q7</f>
        <v>27.1</v>
      </c>
      <c r="S7" s="41">
        <v>18.399999999999999</v>
      </c>
      <c r="T7" s="11">
        <v>19</v>
      </c>
      <c r="U7" s="14">
        <f t="shared" si="0"/>
        <v>3.2608695652173995E-2</v>
      </c>
      <c r="V7" s="11">
        <v>-50</v>
      </c>
      <c r="W7" s="11">
        <v>36.9</v>
      </c>
      <c r="X7" s="85">
        <v>226.4</v>
      </c>
      <c r="Y7" s="79" t="s">
        <v>120</v>
      </c>
      <c r="Z7" s="90"/>
      <c r="AA7" s="93" t="s">
        <v>129</v>
      </c>
      <c r="AB7" s="4"/>
      <c r="AC7" s="4"/>
      <c r="AD7" s="4"/>
    </row>
    <row r="8" spans="1:30" x14ac:dyDescent="0.2">
      <c r="A8" s="50" t="s">
        <v>35</v>
      </c>
      <c r="B8" s="11" t="s">
        <v>30</v>
      </c>
      <c r="C8" s="11" t="s">
        <v>34</v>
      </c>
      <c r="D8" s="11" t="s">
        <v>101</v>
      </c>
      <c r="E8" s="13">
        <v>-48.795780222929899</v>
      </c>
      <c r="F8" s="13">
        <v>-0.65859872477707038</v>
      </c>
      <c r="G8" s="13">
        <v>17.804149414012731</v>
      </c>
      <c r="H8" s="13">
        <v>0.3573248308917199</v>
      </c>
      <c r="I8" s="13">
        <v>-57.890290636942666</v>
      </c>
      <c r="J8" s="13">
        <v>14.471019109554135</v>
      </c>
      <c r="K8" s="13">
        <v>63.796476006410295</v>
      </c>
      <c r="L8" s="13">
        <v>132.95517464968151</v>
      </c>
      <c r="M8" s="13">
        <v>-53.735040974522278</v>
      </c>
      <c r="N8" s="13">
        <v>2.4742732533268255</v>
      </c>
      <c r="O8" s="13">
        <v>1.2467128452229299</v>
      </c>
      <c r="P8" s="11">
        <v>157</v>
      </c>
      <c r="Q8" s="11">
        <v>10</v>
      </c>
      <c r="R8" s="75">
        <f t="shared" si="1"/>
        <v>15.7</v>
      </c>
      <c r="S8" s="41">
        <v>19.2</v>
      </c>
      <c r="T8" s="11">
        <v>20.8</v>
      </c>
      <c r="U8" s="14">
        <f t="shared" si="0"/>
        <v>8.3333333333333412E-2</v>
      </c>
      <c r="V8" s="16">
        <v>-330</v>
      </c>
      <c r="W8" s="11">
        <v>42.5</v>
      </c>
      <c r="X8" s="85">
        <v>277.3</v>
      </c>
      <c r="Y8" s="79" t="s">
        <v>120</v>
      </c>
      <c r="Z8" s="90"/>
      <c r="AA8" s="93" t="s">
        <v>129</v>
      </c>
      <c r="AB8" s="4"/>
      <c r="AC8" s="4"/>
      <c r="AD8" s="4"/>
    </row>
    <row r="9" spans="1:30" x14ac:dyDescent="0.2">
      <c r="A9" s="50" t="s">
        <v>36</v>
      </c>
      <c r="B9" s="11" t="s">
        <v>37</v>
      </c>
      <c r="C9" s="11" t="s">
        <v>34</v>
      </c>
      <c r="D9" s="11" t="s">
        <v>101</v>
      </c>
      <c r="E9" s="13">
        <v>-49.617424842105237</v>
      </c>
      <c r="F9" s="13">
        <v>-0.850309599721361</v>
      </c>
      <c r="G9" s="13">
        <v>8.3317523498451962</v>
      </c>
      <c r="H9" s="13">
        <v>0.37198141414860647</v>
      </c>
      <c r="I9" s="13">
        <v>-58.544090448916393</v>
      </c>
      <c r="J9" s="13">
        <v>8.4221362603715182</v>
      </c>
      <c r="K9" s="13">
        <v>30.926242012422339</v>
      </c>
      <c r="L9" s="13">
        <v>93.417991529411751</v>
      </c>
      <c r="M9" s="13">
        <v>-31.762091498452047</v>
      </c>
      <c r="N9" s="13">
        <v>2.9411788431490589</v>
      </c>
      <c r="O9" s="13">
        <v>1.7843379823529415</v>
      </c>
      <c r="P9" s="11">
        <v>323</v>
      </c>
      <c r="Q9" s="11">
        <v>10</v>
      </c>
      <c r="R9" s="75">
        <f t="shared" si="1"/>
        <v>32.299999999999997</v>
      </c>
      <c r="S9" s="86">
        <v>26.3</v>
      </c>
      <c r="T9" s="16">
        <v>27.8</v>
      </c>
      <c r="U9" s="14">
        <f t="shared" si="0"/>
        <v>5.7034220532319393E-2</v>
      </c>
      <c r="V9" s="11">
        <v>-50</v>
      </c>
      <c r="W9" s="11">
        <v>29.4</v>
      </c>
      <c r="X9" s="85">
        <v>573.9</v>
      </c>
      <c r="Y9" s="79" t="s">
        <v>120</v>
      </c>
      <c r="Z9" s="90" t="s">
        <v>38</v>
      </c>
      <c r="AA9" s="93" t="s">
        <v>129</v>
      </c>
      <c r="AB9" s="4"/>
      <c r="AC9" s="4"/>
      <c r="AD9" s="4"/>
    </row>
    <row r="10" spans="1:30" x14ac:dyDescent="0.2">
      <c r="A10" s="50" t="s">
        <v>39</v>
      </c>
      <c r="B10" s="11" t="s">
        <v>28</v>
      </c>
      <c r="C10" s="11" t="s">
        <v>40</v>
      </c>
      <c r="D10" s="11" t="s">
        <v>101</v>
      </c>
      <c r="E10" s="13">
        <v>-41.518974315340877</v>
      </c>
      <c r="F10" s="13">
        <v>-0.75099431437499897</v>
      </c>
      <c r="G10" s="13">
        <v>8.8418787113636448</v>
      </c>
      <c r="H10" s="13">
        <v>0.34076704051136408</v>
      </c>
      <c r="I10" s="13">
        <v>-51.990231545454549</v>
      </c>
      <c r="J10" s="13">
        <v>13.877840908522719</v>
      </c>
      <c r="K10" s="13">
        <v>28.440313455840425</v>
      </c>
      <c r="L10" s="13">
        <v>82.676106855113687</v>
      </c>
      <c r="M10" s="13">
        <v>-31.947049221590927</v>
      </c>
      <c r="N10" s="13">
        <v>2.5879105854708579</v>
      </c>
      <c r="O10" s="13">
        <v>1.5816940730113638</v>
      </c>
      <c r="P10" s="11">
        <v>352</v>
      </c>
      <c r="Q10" s="11">
        <v>10</v>
      </c>
      <c r="R10" s="75">
        <f t="shared" si="1"/>
        <v>35.200000000000003</v>
      </c>
      <c r="S10" s="86">
        <v>31.9</v>
      </c>
      <c r="T10" s="16">
        <v>38.700000000000003</v>
      </c>
      <c r="U10" s="17">
        <f t="shared" si="0"/>
        <v>0.2131661442006271</v>
      </c>
      <c r="V10" s="11">
        <v>-62</v>
      </c>
      <c r="W10" s="11">
        <v>25.8</v>
      </c>
      <c r="X10" s="85">
        <v>417.3</v>
      </c>
      <c r="Y10" s="79" t="s">
        <v>120</v>
      </c>
      <c r="Z10" s="90" t="s">
        <v>41</v>
      </c>
      <c r="AA10" s="93" t="s">
        <v>129</v>
      </c>
      <c r="AB10" s="4"/>
      <c r="AC10" s="4"/>
      <c r="AD10" s="4"/>
    </row>
    <row r="11" spans="1:30" x14ac:dyDescent="0.2">
      <c r="A11" s="50" t="s">
        <v>42</v>
      </c>
      <c r="B11" s="11" t="s">
        <v>30</v>
      </c>
      <c r="C11" s="11" t="s">
        <v>40</v>
      </c>
      <c r="D11" s="11" t="s">
        <v>101</v>
      </c>
      <c r="E11" s="13">
        <v>-45.693784863636381</v>
      </c>
      <c r="F11" s="13">
        <v>-0.38863635363636234</v>
      </c>
      <c r="G11" s="13">
        <v>27.233516823232321</v>
      </c>
      <c r="H11" s="13">
        <v>0.19621211292929305</v>
      </c>
      <c r="I11" s="13">
        <v>-56.932607292929333</v>
      </c>
      <c r="J11" s="13">
        <v>14.610858585858582</v>
      </c>
      <c r="K11" s="13">
        <v>50.288577340101511</v>
      </c>
      <c r="L11" s="13">
        <v>285.89976934343446</v>
      </c>
      <c r="M11" s="13">
        <v>-113.02662797979796</v>
      </c>
      <c r="N11" s="13">
        <v>2.5294903904815715</v>
      </c>
      <c r="O11" s="13">
        <v>0.62314793010101011</v>
      </c>
      <c r="P11" s="11">
        <v>198</v>
      </c>
      <c r="Q11" s="11">
        <v>10</v>
      </c>
      <c r="R11" s="75">
        <f t="shared" si="1"/>
        <v>19.8</v>
      </c>
      <c r="S11" s="41">
        <v>21.1</v>
      </c>
      <c r="T11" s="11">
        <v>19.2</v>
      </c>
      <c r="U11" s="14">
        <f t="shared" si="0"/>
        <v>9.0047393364929007E-2</v>
      </c>
      <c r="V11" s="11">
        <v>-60</v>
      </c>
      <c r="W11" s="11">
        <v>58.2</v>
      </c>
      <c r="X11" s="85">
        <v>143.30000000000001</v>
      </c>
      <c r="Y11" s="79" t="s">
        <v>121</v>
      </c>
      <c r="Z11" s="90"/>
      <c r="AA11" s="93" t="s">
        <v>129</v>
      </c>
      <c r="AB11" s="4"/>
      <c r="AC11" s="4"/>
      <c r="AD11" s="4"/>
    </row>
    <row r="12" spans="1:30" x14ac:dyDescent="0.2">
      <c r="A12" s="50" t="s">
        <v>43</v>
      </c>
      <c r="B12" s="11" t="s">
        <v>30</v>
      </c>
      <c r="C12" s="11" t="s">
        <v>40</v>
      </c>
      <c r="D12" s="11" t="s">
        <v>101</v>
      </c>
      <c r="E12" s="13">
        <v>-45.212937986425317</v>
      </c>
      <c r="F12" s="13">
        <v>-0.5061086119004532</v>
      </c>
      <c r="G12" s="13">
        <v>28.761036063348406</v>
      </c>
      <c r="H12" s="13">
        <v>0.33325791524886961</v>
      </c>
      <c r="I12" s="13">
        <v>-57.814350266968368</v>
      </c>
      <c r="J12" s="13">
        <v>14.597058823529403</v>
      </c>
      <c r="K12" s="13">
        <v>45.302954149999991</v>
      </c>
      <c r="L12" s="13">
        <v>218.94360040723987</v>
      </c>
      <c r="M12" s="13">
        <v>-54.047873782805446</v>
      </c>
      <c r="N12" s="13">
        <v>4.0509197695191039</v>
      </c>
      <c r="O12" s="13">
        <v>1.2237609950226247</v>
      </c>
      <c r="P12" s="11">
        <v>221</v>
      </c>
      <c r="Q12" s="11">
        <v>10</v>
      </c>
      <c r="R12" s="75">
        <f t="shared" si="1"/>
        <v>22.1</v>
      </c>
      <c r="S12" s="41">
        <v>25.4</v>
      </c>
      <c r="T12" s="11">
        <v>22.4</v>
      </c>
      <c r="U12" s="14">
        <f t="shared" si="0"/>
        <v>0.11811023622047245</v>
      </c>
      <c r="V12" s="11">
        <v>-30</v>
      </c>
      <c r="W12" s="11">
        <v>27</v>
      </c>
      <c r="X12" s="85">
        <v>495.8</v>
      </c>
      <c r="Y12" s="79" t="s">
        <v>120</v>
      </c>
      <c r="Z12" s="90"/>
      <c r="AA12" s="93" t="s">
        <v>129</v>
      </c>
      <c r="AB12" s="4"/>
      <c r="AC12" s="4"/>
      <c r="AD12" s="4"/>
    </row>
    <row r="13" spans="1:30" x14ac:dyDescent="0.2">
      <c r="A13" s="50" t="s">
        <v>44</v>
      </c>
      <c r="B13" s="11" t="s">
        <v>30</v>
      </c>
      <c r="C13" s="11" t="s">
        <v>40</v>
      </c>
      <c r="D13" s="11" t="s">
        <v>101</v>
      </c>
      <c r="E13" s="13">
        <v>-41.760026744186042</v>
      </c>
      <c r="F13" s="13">
        <v>-0.43674417632558182</v>
      </c>
      <c r="G13" s="13">
        <v>14.095572539534887</v>
      </c>
      <c r="H13" s="13">
        <v>0.23325581725581426</v>
      </c>
      <c r="I13" s="13">
        <v>-51.00160122790696</v>
      </c>
      <c r="J13" s="13">
        <v>14.242790698139533</v>
      </c>
      <c r="K13" s="13">
        <v>46.392053046728954</v>
      </c>
      <c r="L13" s="13">
        <v>174.77601474418614</v>
      </c>
      <c r="M13" s="13">
        <v>-68.689532572093029</v>
      </c>
      <c r="N13" s="13">
        <v>2.5444344749434733</v>
      </c>
      <c r="O13" s="13">
        <v>0.81039216153488403</v>
      </c>
      <c r="P13" s="11">
        <v>215</v>
      </c>
      <c r="Q13" s="11">
        <v>10</v>
      </c>
      <c r="R13" s="75">
        <f t="shared" si="1"/>
        <v>21.5</v>
      </c>
      <c r="S13" s="86">
        <v>30.4</v>
      </c>
      <c r="T13" s="16">
        <v>31.1</v>
      </c>
      <c r="U13" s="14">
        <f t="shared" si="0"/>
        <v>2.302631578947378E-2</v>
      </c>
      <c r="V13" s="11">
        <v>-100</v>
      </c>
      <c r="W13" s="11">
        <v>84.8</v>
      </c>
      <c r="X13" s="85">
        <v>84.3</v>
      </c>
      <c r="Y13" s="79" t="s">
        <v>120</v>
      </c>
      <c r="Z13" s="90" t="s">
        <v>45</v>
      </c>
      <c r="AA13" s="93" t="s">
        <v>129</v>
      </c>
      <c r="AB13" s="4"/>
      <c r="AC13" s="4"/>
      <c r="AD13" s="4"/>
    </row>
    <row r="14" spans="1:30" x14ac:dyDescent="0.2">
      <c r="A14" s="50" t="s">
        <v>46</v>
      </c>
      <c r="B14" s="11" t="s">
        <v>30</v>
      </c>
      <c r="C14" s="11" t="s">
        <v>40</v>
      </c>
      <c r="D14" s="11" t="s">
        <v>101</v>
      </c>
      <c r="E14" s="13">
        <v>-42.370590704600467</v>
      </c>
      <c r="F14" s="13">
        <v>-0.46670702251816287</v>
      </c>
      <c r="G14" s="13">
        <v>23.726582019370468</v>
      </c>
      <c r="H14" s="13">
        <v>0.18644067338983045</v>
      </c>
      <c r="I14" s="13">
        <v>-60.753034929782054</v>
      </c>
      <c r="J14" s="13">
        <v>1.3302663443099301</v>
      </c>
      <c r="K14" s="13">
        <v>24.226698832524264</v>
      </c>
      <c r="L14" s="13">
        <v>269.70238549636815</v>
      </c>
      <c r="M14" s="13">
        <v>-185.10425915254237</v>
      </c>
      <c r="N14" s="13">
        <v>1.45702960445718</v>
      </c>
      <c r="O14" s="13">
        <v>0.45013077968522947</v>
      </c>
      <c r="P14" s="11">
        <v>413</v>
      </c>
      <c r="Q14" s="11">
        <v>10</v>
      </c>
      <c r="R14" s="75">
        <f t="shared" si="1"/>
        <v>41.3</v>
      </c>
      <c r="S14" s="41">
        <v>9.9</v>
      </c>
      <c r="T14" s="11">
        <v>9.9</v>
      </c>
      <c r="U14" s="14">
        <f t="shared" si="0"/>
        <v>0</v>
      </c>
      <c r="V14" s="11">
        <v>-85</v>
      </c>
      <c r="W14" s="11">
        <v>59.3</v>
      </c>
      <c r="X14" s="85">
        <v>136.1</v>
      </c>
      <c r="Y14" s="79" t="s">
        <v>120</v>
      </c>
      <c r="Z14" s="90"/>
      <c r="AA14" s="93" t="s">
        <v>130</v>
      </c>
      <c r="AB14" s="4"/>
      <c r="AC14" s="4"/>
      <c r="AD14" s="4"/>
    </row>
    <row r="15" spans="1:30" x14ac:dyDescent="0.2">
      <c r="A15" s="50" t="s">
        <v>47</v>
      </c>
      <c r="B15" s="11" t="s">
        <v>30</v>
      </c>
      <c r="C15" s="11" t="s">
        <v>40</v>
      </c>
      <c r="D15" s="11" t="s">
        <v>101</v>
      </c>
      <c r="E15" s="13">
        <v>-41.579716068965517</v>
      </c>
      <c r="F15" s="13">
        <v>-0.3712068866206899</v>
      </c>
      <c r="G15" s="13">
        <v>25.64787761379311</v>
      </c>
      <c r="H15" s="13">
        <v>0.18586206462068922</v>
      </c>
      <c r="I15" s="13">
        <v>-53.618163989655152</v>
      </c>
      <c r="J15" s="13">
        <v>1.5467241386206878</v>
      </c>
      <c r="K15" s="13">
        <v>34.450000093425658</v>
      </c>
      <c r="L15" s="13">
        <v>287.19566624137923</v>
      </c>
      <c r="M15" s="13">
        <v>-140.28299255172408</v>
      </c>
      <c r="N15" s="13">
        <v>2.0472593364123353</v>
      </c>
      <c r="O15" s="13">
        <v>0.5162167194137931</v>
      </c>
      <c r="P15" s="11">
        <v>290</v>
      </c>
      <c r="Q15" s="11">
        <v>10</v>
      </c>
      <c r="R15" s="75">
        <f t="shared" si="1"/>
        <v>29</v>
      </c>
      <c r="S15" s="41">
        <v>14.4</v>
      </c>
      <c r="T15" s="11">
        <v>14.9</v>
      </c>
      <c r="U15" s="14">
        <f t="shared" si="0"/>
        <v>3.4722222222222224E-2</v>
      </c>
      <c r="V15" s="11">
        <v>-80</v>
      </c>
      <c r="W15" s="11">
        <v>75.7</v>
      </c>
      <c r="X15" s="85">
        <v>114.4</v>
      </c>
      <c r="Y15" s="79" t="s">
        <v>120</v>
      </c>
      <c r="Z15" s="90"/>
      <c r="AA15" s="93" t="s">
        <v>131</v>
      </c>
      <c r="AB15" s="4"/>
      <c r="AC15" s="4"/>
      <c r="AD15" s="4"/>
    </row>
    <row r="16" spans="1:30" x14ac:dyDescent="0.2">
      <c r="A16" s="50" t="s">
        <v>48</v>
      </c>
      <c r="B16" s="11" t="s">
        <v>28</v>
      </c>
      <c r="C16" s="11" t="s">
        <v>49</v>
      </c>
      <c r="D16" s="11" t="s">
        <v>101</v>
      </c>
      <c r="E16" s="13">
        <v>-40.631169305140844</v>
      </c>
      <c r="F16" s="13">
        <v>-0.49610282722139254</v>
      </c>
      <c r="G16" s="13">
        <v>3.4629859743781153</v>
      </c>
      <c r="H16" s="13">
        <v>0.10472636641293502</v>
      </c>
      <c r="I16" s="13">
        <v>-53.209270031509156</v>
      </c>
      <c r="J16" s="13">
        <v>1.5937396446102823</v>
      </c>
      <c r="K16" s="13">
        <v>8.2941494760165959</v>
      </c>
      <c r="L16" s="13">
        <v>153.54441179104529</v>
      </c>
      <c r="M16" s="13">
        <v>-117.95423517412927</v>
      </c>
      <c r="N16" s="13">
        <v>1.3017286879472894</v>
      </c>
      <c r="O16" s="13">
        <v>0.47186900129353143</v>
      </c>
      <c r="P16" s="11">
        <v>1206</v>
      </c>
      <c r="Q16" s="11">
        <v>10</v>
      </c>
      <c r="R16" s="75">
        <f t="shared" si="1"/>
        <v>120.6</v>
      </c>
      <c r="S16" s="41">
        <v>10.4</v>
      </c>
      <c r="T16" s="11">
        <v>10.5</v>
      </c>
      <c r="U16" s="14">
        <f t="shared" si="0"/>
        <v>9.6153846153845812E-3</v>
      </c>
      <c r="V16" s="16">
        <v>-300</v>
      </c>
      <c r="W16" s="11">
        <v>38.700000000000003</v>
      </c>
      <c r="X16" s="85">
        <v>164.3</v>
      </c>
      <c r="Y16" s="79" t="s">
        <v>120</v>
      </c>
      <c r="Z16" s="90" t="s">
        <v>50</v>
      </c>
      <c r="AA16" s="93" t="s">
        <v>131</v>
      </c>
      <c r="AB16" s="4"/>
      <c r="AC16" s="4"/>
      <c r="AD16" s="4"/>
    </row>
    <row r="17" spans="1:30" x14ac:dyDescent="0.2">
      <c r="A17" s="50" t="s">
        <v>55</v>
      </c>
      <c r="B17" s="11" t="s">
        <v>30</v>
      </c>
      <c r="C17" s="11" t="s">
        <v>56</v>
      </c>
      <c r="D17" s="11" t="s">
        <v>101</v>
      </c>
      <c r="E17" s="13">
        <v>-40.957339357188523</v>
      </c>
      <c r="F17" s="13">
        <v>-0.44437698879871157</v>
      </c>
      <c r="G17" s="13">
        <v>-5.292157549392976</v>
      </c>
      <c r="H17" s="13">
        <v>0.10865814621597489</v>
      </c>
      <c r="I17" s="13">
        <v>-50.956867433865867</v>
      </c>
      <c r="J17" s="13">
        <v>1.3929393057507899</v>
      </c>
      <c r="K17" s="13">
        <v>6.3911444514066567</v>
      </c>
      <c r="L17" s="13">
        <v>146.0676591054328</v>
      </c>
      <c r="M17" s="13">
        <v>-110.59199819169407</v>
      </c>
      <c r="N17" s="13">
        <v>1.3207796359031976</v>
      </c>
      <c r="O17" s="13">
        <v>0.39166628212779603</v>
      </c>
      <c r="P17" s="11">
        <v>1565</v>
      </c>
      <c r="Q17" s="11">
        <v>10</v>
      </c>
      <c r="R17" s="75">
        <f t="shared" si="1"/>
        <v>156.5</v>
      </c>
      <c r="S17" s="41">
        <v>16.399999999999999</v>
      </c>
      <c r="T17" s="11">
        <v>19.5</v>
      </c>
      <c r="U17" s="14">
        <f t="shared" si="0"/>
        <v>0.18902439024390255</v>
      </c>
      <c r="V17" s="16">
        <v>-600</v>
      </c>
      <c r="W17" s="11">
        <v>95.7</v>
      </c>
      <c r="X17" s="85">
        <v>59.2</v>
      </c>
      <c r="Y17" s="79" t="s">
        <v>120</v>
      </c>
      <c r="Z17" s="90"/>
      <c r="AA17" s="93" t="s">
        <v>129</v>
      </c>
      <c r="AB17" s="4"/>
      <c r="AC17" s="4"/>
      <c r="AD17" s="4"/>
    </row>
    <row r="18" spans="1:30" x14ac:dyDescent="0.2">
      <c r="A18" s="50" t="s">
        <v>59</v>
      </c>
      <c r="B18" s="11" t="s">
        <v>28</v>
      </c>
      <c r="C18" s="11" t="s">
        <v>60</v>
      </c>
      <c r="D18" s="11" t="s">
        <v>101</v>
      </c>
      <c r="E18" s="13">
        <v>-46.286496250000013</v>
      </c>
      <c r="F18" s="13">
        <v>-0.52613637488636378</v>
      </c>
      <c r="G18" s="13">
        <v>10.929454455681823</v>
      </c>
      <c r="H18" s="13">
        <v>0.21874999749999999</v>
      </c>
      <c r="I18" s="13">
        <v>-56.595195363636378</v>
      </c>
      <c r="J18" s="13">
        <v>14.863636363636358</v>
      </c>
      <c r="K18" s="13">
        <v>113.75804251724138</v>
      </c>
      <c r="L18" s="13">
        <v>170.79439999999997</v>
      </c>
      <c r="M18" s="13">
        <v>-73.630593079545406</v>
      </c>
      <c r="N18" s="13">
        <v>2.3196119012036953</v>
      </c>
      <c r="O18" s="13">
        <v>0.80791914784090935</v>
      </c>
      <c r="P18" s="11">
        <v>88</v>
      </c>
      <c r="Q18" s="11">
        <v>10</v>
      </c>
      <c r="R18" s="75">
        <f t="shared" si="1"/>
        <v>8.8000000000000007</v>
      </c>
      <c r="S18" s="41">
        <v>17.899999999999999</v>
      </c>
      <c r="T18" s="11">
        <v>18.3</v>
      </c>
      <c r="U18" s="14">
        <f t="shared" si="0"/>
        <v>2.2346368715083921E-2</v>
      </c>
      <c r="V18" s="11">
        <v>-20</v>
      </c>
      <c r="W18" s="11">
        <v>70.900000000000006</v>
      </c>
      <c r="X18" s="85">
        <v>182.4</v>
      </c>
      <c r="Y18" s="79" t="s">
        <v>124</v>
      </c>
      <c r="Z18" s="90"/>
      <c r="AA18" s="93" t="s">
        <v>129</v>
      </c>
      <c r="AB18" s="4"/>
      <c r="AC18" s="4"/>
      <c r="AD18" s="4"/>
    </row>
    <row r="19" spans="1:30" x14ac:dyDescent="0.2">
      <c r="A19" s="50" t="s">
        <v>61</v>
      </c>
      <c r="B19" s="11" t="s">
        <v>28</v>
      </c>
      <c r="C19" s="11" t="s">
        <v>60</v>
      </c>
      <c r="D19" s="11" t="s">
        <v>101</v>
      </c>
      <c r="E19" s="13">
        <v>-46.126969916030575</v>
      </c>
      <c r="F19" s="13">
        <v>-0.3095419909160308</v>
      </c>
      <c r="G19" s="13">
        <v>7.1047717435114484</v>
      </c>
      <c r="H19" s="13">
        <v>0.10305343290839683</v>
      </c>
      <c r="I19" s="13">
        <v>-61.025372030534356</v>
      </c>
      <c r="J19" s="13">
        <v>11.469847339694654</v>
      </c>
      <c r="K19" s="13">
        <v>76.47038593076924</v>
      </c>
      <c r="L19" s="13">
        <v>273.09505083969481</v>
      </c>
      <c r="M19" s="13">
        <v>-157.61280778625954</v>
      </c>
      <c r="N19" s="13">
        <v>1.7326958048361274</v>
      </c>
      <c r="O19" s="13">
        <v>0.37707544389312991</v>
      </c>
      <c r="P19" s="11">
        <v>131</v>
      </c>
      <c r="Q19" s="11">
        <v>10</v>
      </c>
      <c r="R19" s="75">
        <f t="shared" si="1"/>
        <v>13.1</v>
      </c>
      <c r="S19" s="41">
        <v>14.1</v>
      </c>
      <c r="T19" s="11">
        <v>14.6</v>
      </c>
      <c r="U19" s="14">
        <f t="shared" si="0"/>
        <v>3.5460992907801421E-2</v>
      </c>
      <c r="V19" s="11">
        <v>-200</v>
      </c>
      <c r="W19" s="11">
        <v>141.9</v>
      </c>
      <c r="X19" s="85">
        <v>44.6</v>
      </c>
      <c r="Y19" s="79" t="s">
        <v>120</v>
      </c>
      <c r="Z19" s="90"/>
      <c r="AA19" s="93" t="s">
        <v>129</v>
      </c>
      <c r="AB19" s="4"/>
      <c r="AC19" s="4"/>
      <c r="AD19" s="4"/>
    </row>
    <row r="20" spans="1:30" x14ac:dyDescent="0.2">
      <c r="A20" s="50" t="s">
        <v>62</v>
      </c>
      <c r="B20" s="11" t="s">
        <v>30</v>
      </c>
      <c r="C20" s="11" t="s">
        <v>60</v>
      </c>
      <c r="D20" s="11" t="s">
        <v>101</v>
      </c>
      <c r="E20" s="13">
        <v>-42.183667544186036</v>
      </c>
      <c r="F20" s="13">
        <v>-0.47046511893023346</v>
      </c>
      <c r="G20" s="13">
        <v>8.155574355348838</v>
      </c>
      <c r="H20" s="13">
        <v>0.18046511409302343</v>
      </c>
      <c r="I20" s="13">
        <v>-53.294053186046511</v>
      </c>
      <c r="J20" s="13">
        <v>9.5674418739534843</v>
      </c>
      <c r="K20" s="13">
        <v>46.573600364485991</v>
      </c>
      <c r="L20" s="13">
        <v>164.87015148837216</v>
      </c>
      <c r="M20" s="13">
        <v>-81.149788823255832</v>
      </c>
      <c r="N20" s="13">
        <v>2.0316769011865108</v>
      </c>
      <c r="O20" s="13">
        <v>0.67356567018604663</v>
      </c>
      <c r="P20" s="11">
        <v>215</v>
      </c>
      <c r="Q20" s="11">
        <v>10</v>
      </c>
      <c r="R20" s="75">
        <f t="shared" si="1"/>
        <v>21.5</v>
      </c>
      <c r="S20" s="41">
        <v>10.5</v>
      </c>
      <c r="T20" s="11">
        <v>13.8</v>
      </c>
      <c r="U20" s="14">
        <f t="shared" si="0"/>
        <v>0.31428571428571433</v>
      </c>
      <c r="V20" s="11">
        <v>-450</v>
      </c>
      <c r="W20" s="11">
        <v>145.69999999999999</v>
      </c>
      <c r="X20" s="85">
        <v>34.799999999999997</v>
      </c>
      <c r="Y20" s="79" t="s">
        <v>120</v>
      </c>
      <c r="Z20" s="90"/>
      <c r="AA20" s="93" t="s">
        <v>129</v>
      </c>
      <c r="AB20" s="4"/>
      <c r="AC20" s="4"/>
      <c r="AD20" s="4"/>
    </row>
    <row r="21" spans="1:30" x14ac:dyDescent="0.2">
      <c r="A21" s="50" t="s">
        <v>112</v>
      </c>
      <c r="B21" s="11" t="s">
        <v>68</v>
      </c>
      <c r="C21" s="11" t="s">
        <v>113</v>
      </c>
      <c r="D21" s="11" t="s">
        <v>101</v>
      </c>
      <c r="E21" s="13">
        <v>-42.606182962686553</v>
      </c>
      <c r="F21" s="13">
        <v>-0.50708956753731416</v>
      </c>
      <c r="G21" s="13">
        <v>17.614108425373143</v>
      </c>
      <c r="H21" s="13">
        <v>0.39589551238805859</v>
      </c>
      <c r="I21" s="13">
        <v>-54.909777298507493</v>
      </c>
      <c r="J21" s="13">
        <v>14.825746268656705</v>
      </c>
      <c r="K21" s="13">
        <v>74.90902246616541</v>
      </c>
      <c r="L21" s="13">
        <v>146.73489246268653</v>
      </c>
      <c r="M21" s="13">
        <v>-31.228136626865673</v>
      </c>
      <c r="N21" s="13">
        <v>4.6988039733517111</v>
      </c>
      <c r="O21" s="13">
        <v>1.6576818320895517</v>
      </c>
      <c r="P21" s="11">
        <v>134</v>
      </c>
      <c r="Q21" s="11">
        <v>10</v>
      </c>
      <c r="R21" s="75">
        <f t="shared" si="1"/>
        <v>13.4</v>
      </c>
      <c r="S21" s="41">
        <v>20.8</v>
      </c>
      <c r="T21" s="11">
        <v>24.8</v>
      </c>
      <c r="U21" s="14">
        <f t="shared" si="0"/>
        <v>0.19230769230769229</v>
      </c>
      <c r="V21" s="11">
        <v>-40</v>
      </c>
      <c r="W21" s="11">
        <v>45.6</v>
      </c>
      <c r="X21" s="85">
        <v>334.4</v>
      </c>
      <c r="Y21" s="79" t="s">
        <v>120</v>
      </c>
      <c r="Z21" s="90"/>
      <c r="AA21" s="93" t="s">
        <v>129</v>
      </c>
      <c r="AB21" s="4"/>
      <c r="AC21" s="4"/>
      <c r="AD21" s="4"/>
    </row>
    <row r="22" spans="1:30" x14ac:dyDescent="0.2">
      <c r="A22" s="50" t="s">
        <v>115</v>
      </c>
      <c r="B22" s="11" t="s">
        <v>30</v>
      </c>
      <c r="C22" s="11" t="s">
        <v>40</v>
      </c>
      <c r="D22" s="18" t="s">
        <v>104</v>
      </c>
      <c r="E22" s="13">
        <v>-43.618323992537356</v>
      </c>
      <c r="F22" s="13">
        <v>-0.36165007301824631</v>
      </c>
      <c r="G22" s="13">
        <v>7.97725949626866</v>
      </c>
      <c r="H22" s="13">
        <v>0.12110282172388062</v>
      </c>
      <c r="I22" s="13">
        <v>-52.228380388059762</v>
      </c>
      <c r="J22" s="13">
        <v>1.3196932116998275</v>
      </c>
      <c r="K22" s="13">
        <v>8.2970125751037269</v>
      </c>
      <c r="L22" s="13">
        <v>223.45066864842585</v>
      </c>
      <c r="M22" s="13">
        <v>-141.6187696683248</v>
      </c>
      <c r="N22" s="13">
        <v>1.5778322970306387</v>
      </c>
      <c r="O22" s="13">
        <v>0.41905833111940333</v>
      </c>
      <c r="P22" s="11">
        <v>1206</v>
      </c>
      <c r="Q22" s="11">
        <v>10</v>
      </c>
      <c r="R22" s="75">
        <f t="shared" si="1"/>
        <v>120.6</v>
      </c>
      <c r="S22" s="41">
        <v>10</v>
      </c>
      <c r="T22" s="11">
        <v>10.3</v>
      </c>
      <c r="U22" s="14">
        <f t="shared" si="0"/>
        <v>3.0000000000000072E-2</v>
      </c>
      <c r="V22" s="11">
        <v>-497</v>
      </c>
      <c r="W22" s="11">
        <v>97.1</v>
      </c>
      <c r="X22" s="85">
        <v>77</v>
      </c>
      <c r="Y22" s="79" t="s">
        <v>120</v>
      </c>
      <c r="Z22" s="90"/>
      <c r="AA22" s="93" t="s">
        <v>131</v>
      </c>
      <c r="AB22" s="4"/>
      <c r="AC22" s="4"/>
      <c r="AD22" s="4"/>
    </row>
    <row r="23" spans="1:30" x14ac:dyDescent="0.2">
      <c r="A23" s="50" t="s">
        <v>116</v>
      </c>
      <c r="B23" s="11" t="s">
        <v>28</v>
      </c>
      <c r="C23" s="11" t="s">
        <v>40</v>
      </c>
      <c r="D23" s="18" t="s">
        <v>104</v>
      </c>
      <c r="E23" s="13">
        <v>-53.320717213261631</v>
      </c>
      <c r="F23" s="13">
        <v>-0.29520610288530791</v>
      </c>
      <c r="G23" s="13">
        <v>-3.6140086415770565</v>
      </c>
      <c r="H23" s="13">
        <v>9.3324370026881751E-2</v>
      </c>
      <c r="I23" s="13">
        <v>-62.244073450716797</v>
      </c>
      <c r="J23" s="13">
        <v>1.2123656029569869</v>
      </c>
      <c r="K23" s="13">
        <v>8.9624217289686072</v>
      </c>
      <c r="L23" s="13">
        <v>265.91557319892456</v>
      </c>
      <c r="M23" s="13">
        <v>-182.44425464157754</v>
      </c>
      <c r="N23" s="13">
        <v>1.457516838342382</v>
      </c>
      <c r="O23" s="13">
        <v>0.31591310019713231</v>
      </c>
      <c r="P23" s="11">
        <v>1116</v>
      </c>
      <c r="Q23" s="11">
        <v>10</v>
      </c>
      <c r="R23" s="75">
        <f t="shared" si="1"/>
        <v>111.6</v>
      </c>
      <c r="S23" s="41">
        <v>14.7</v>
      </c>
      <c r="T23" s="11">
        <v>15</v>
      </c>
      <c r="U23" s="14">
        <f t="shared" si="0"/>
        <v>2.0408163265306173E-2</v>
      </c>
      <c r="V23" s="11">
        <v>-480</v>
      </c>
      <c r="W23" s="11">
        <v>87.4</v>
      </c>
      <c r="X23" s="85">
        <v>63.5</v>
      </c>
      <c r="Y23" s="79" t="s">
        <v>120</v>
      </c>
      <c r="Z23" s="90"/>
      <c r="AA23" s="93" t="s">
        <v>131</v>
      </c>
      <c r="AB23" s="4"/>
      <c r="AC23" s="4"/>
      <c r="AD23" s="4"/>
    </row>
    <row r="24" spans="1:30" x14ac:dyDescent="0.2">
      <c r="A24" s="50" t="s">
        <v>125</v>
      </c>
      <c r="B24" s="11" t="s">
        <v>28</v>
      </c>
      <c r="C24" s="11" t="s">
        <v>127</v>
      </c>
      <c r="D24" s="18" t="s">
        <v>104</v>
      </c>
      <c r="E24" s="13">
        <v>-48.358393617647074</v>
      </c>
      <c r="F24" s="13">
        <v>-0.64019608499999936</v>
      </c>
      <c r="G24" s="13">
        <v>8.7803859352941185</v>
      </c>
      <c r="H24" s="13">
        <v>0.27450981392156859</v>
      </c>
      <c r="I24" s="13">
        <v>-59.977213509803917</v>
      </c>
      <c r="J24" s="13">
        <v>14.82892156862745</v>
      </c>
      <c r="K24" s="13">
        <v>97.433171495049535</v>
      </c>
      <c r="L24" s="13">
        <v>151.19664813725493</v>
      </c>
      <c r="M24" s="13">
        <v>-51.697375715686249</v>
      </c>
      <c r="N24" s="13">
        <v>2.9246484186890394</v>
      </c>
      <c r="O24" s="13">
        <v>0.98675757098039207</v>
      </c>
      <c r="P24" s="11">
        <v>102</v>
      </c>
      <c r="Q24" s="11">
        <v>10</v>
      </c>
      <c r="R24" s="75">
        <f t="shared" si="1"/>
        <v>10.199999999999999</v>
      </c>
      <c r="S24" s="41">
        <v>9.4</v>
      </c>
      <c r="T24" s="11">
        <v>10</v>
      </c>
      <c r="U24" s="88">
        <f t="shared" si="0"/>
        <v>6.3829787234042507E-2</v>
      </c>
      <c r="V24" s="11">
        <v>-80</v>
      </c>
      <c r="W24" s="11">
        <v>121.2</v>
      </c>
      <c r="X24" s="85">
        <v>94.5</v>
      </c>
      <c r="Y24" s="79" t="s">
        <v>121</v>
      </c>
      <c r="Z24" s="90" t="s">
        <v>128</v>
      </c>
      <c r="AA24" s="93" t="s">
        <v>129</v>
      </c>
      <c r="AB24" s="4"/>
      <c r="AC24" s="4"/>
      <c r="AD24" s="4"/>
    </row>
    <row r="25" spans="1:30" x14ac:dyDescent="0.2">
      <c r="A25" s="50" t="s">
        <v>126</v>
      </c>
      <c r="B25" s="11" t="s">
        <v>28</v>
      </c>
      <c r="C25" s="11" t="s">
        <v>127</v>
      </c>
      <c r="D25" s="18" t="s">
        <v>104</v>
      </c>
      <c r="E25" s="13">
        <v>-45.548061179245288</v>
      </c>
      <c r="F25" s="13">
        <v>-0.3976414997169806</v>
      </c>
      <c r="G25" s="13">
        <v>13.162864858490568</v>
      </c>
      <c r="H25" s="13">
        <v>0.24245283716981156</v>
      </c>
      <c r="I25" s="13">
        <v>-58.21659883018868</v>
      </c>
      <c r="J25" s="13">
        <v>14.82924528301886</v>
      </c>
      <c r="K25" s="13">
        <v>93.99857590476195</v>
      </c>
      <c r="L25" s="13">
        <v>213.95413386792458</v>
      </c>
      <c r="M25" s="13">
        <v>-78.525183320754763</v>
      </c>
      <c r="N25" s="13">
        <v>2.7246562799347833</v>
      </c>
      <c r="O25" s="13">
        <v>0.70771836792452825</v>
      </c>
      <c r="P25" s="11">
        <v>106</v>
      </c>
      <c r="Q25" s="11">
        <v>10</v>
      </c>
      <c r="R25" s="75">
        <f t="shared" si="1"/>
        <v>10.6</v>
      </c>
      <c r="S25" s="41">
        <v>10.4</v>
      </c>
      <c r="T25" s="11">
        <v>10.4</v>
      </c>
      <c r="U25" s="88">
        <f t="shared" si="0"/>
        <v>0</v>
      </c>
      <c r="V25" s="11">
        <v>-120</v>
      </c>
      <c r="W25" s="11">
        <v>109.2</v>
      </c>
      <c r="X25" s="85">
        <v>99.2</v>
      </c>
      <c r="Y25" s="79" t="s">
        <v>120</v>
      </c>
      <c r="Z25" s="90" t="s">
        <v>128</v>
      </c>
      <c r="AA25" s="93" t="s">
        <v>129</v>
      </c>
      <c r="AB25" s="4"/>
      <c r="AC25" s="4"/>
      <c r="AD25" s="4"/>
    </row>
    <row r="26" spans="1:30" x14ac:dyDescent="0.2">
      <c r="A26" s="50"/>
      <c r="B26" s="11"/>
      <c r="C26" s="11"/>
      <c r="D26" s="18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1"/>
      <c r="Q26" s="11"/>
      <c r="R26" s="75"/>
      <c r="S26" s="41"/>
      <c r="T26" s="11"/>
      <c r="U26" s="11"/>
      <c r="V26" s="11"/>
      <c r="W26" s="11"/>
      <c r="X26" s="85"/>
      <c r="Y26" s="79"/>
      <c r="Z26" s="90"/>
      <c r="AA26" s="93"/>
      <c r="AB26" s="4"/>
      <c r="AC26" s="4"/>
      <c r="AD26" s="4"/>
    </row>
    <row r="27" spans="1:30" x14ac:dyDescent="0.2">
      <c r="A27" s="50"/>
      <c r="B27" s="11"/>
      <c r="C27" s="11"/>
      <c r="D27" s="18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1"/>
      <c r="Q27" s="11"/>
      <c r="R27" s="75"/>
      <c r="S27" s="41"/>
      <c r="T27" s="11"/>
      <c r="U27" s="11"/>
      <c r="V27" s="11"/>
      <c r="W27" s="11"/>
      <c r="X27" s="85"/>
      <c r="Y27" s="79"/>
      <c r="Z27" s="90"/>
      <c r="AA27" s="93"/>
      <c r="AB27" s="4"/>
      <c r="AC27" s="4"/>
      <c r="AD27" s="4"/>
    </row>
    <row r="28" spans="1:30" ht="15.75" thickBot="1" x14ac:dyDescent="0.25">
      <c r="A28" s="53"/>
      <c r="B28" s="66"/>
      <c r="C28" s="66"/>
      <c r="D28" s="44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6"/>
      <c r="Q28" s="66"/>
      <c r="R28" s="76"/>
      <c r="S28" s="43"/>
      <c r="T28" s="66"/>
      <c r="U28" s="66"/>
      <c r="V28" s="66"/>
      <c r="W28" s="66"/>
      <c r="X28" s="87"/>
      <c r="Y28" s="80"/>
      <c r="Z28" s="91"/>
      <c r="AA28" s="94"/>
      <c r="AB28" s="4"/>
      <c r="AC28" s="4"/>
      <c r="AD28" s="4"/>
    </row>
    <row r="29" spans="1:30" x14ac:dyDescent="0.2">
      <c r="A29" s="6"/>
      <c r="B29" s="7"/>
      <c r="C29" s="7"/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7"/>
      <c r="Q29" s="7"/>
      <c r="R29" s="8"/>
      <c r="S29" s="7"/>
      <c r="T29" s="7"/>
      <c r="U29" s="7"/>
      <c r="V29" s="7"/>
      <c r="W29" s="7"/>
      <c r="X29" s="7"/>
      <c r="Y29" s="7"/>
      <c r="Z29" s="6"/>
      <c r="AA29" s="6"/>
      <c r="AB29" s="4"/>
      <c r="AC29" s="4"/>
      <c r="AD29" s="4"/>
    </row>
    <row r="30" spans="1:30" x14ac:dyDescent="0.2">
      <c r="A30" s="6"/>
      <c r="B30" s="7"/>
      <c r="C30" s="7"/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7"/>
      <c r="Q30" s="7"/>
      <c r="R30" s="8"/>
      <c r="S30" s="7"/>
      <c r="T30" s="7"/>
      <c r="U30" s="7"/>
      <c r="V30" s="7"/>
      <c r="W30" s="7"/>
      <c r="X30" s="7"/>
      <c r="Y30" s="7"/>
      <c r="Z30" s="6"/>
      <c r="AA30" s="6"/>
      <c r="AB30" s="4"/>
      <c r="AC30" s="4"/>
      <c r="AD30" s="4"/>
    </row>
    <row r="31" spans="1:30" x14ac:dyDescent="0.2">
      <c r="A31" s="6"/>
      <c r="B31" s="7"/>
      <c r="C31" s="7"/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7"/>
      <c r="Q31" s="7"/>
      <c r="R31" s="8"/>
      <c r="S31" s="7"/>
      <c r="T31" s="7"/>
      <c r="U31" s="7"/>
      <c r="V31" s="7"/>
      <c r="W31" s="7"/>
      <c r="X31" s="7"/>
      <c r="Y31" s="7"/>
      <c r="Z31" s="6"/>
      <c r="AA31" s="6"/>
      <c r="AB31" s="4"/>
      <c r="AC31" s="4"/>
      <c r="AD31" s="4"/>
    </row>
    <row r="32" spans="1:30" ht="15.75" thickBot="1" x14ac:dyDescent="0.25">
      <c r="A32" s="6"/>
      <c r="B32" s="7"/>
      <c r="C32" s="7"/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7"/>
      <c r="Q32" s="7"/>
      <c r="R32" s="8"/>
      <c r="S32" s="7"/>
      <c r="T32" s="7"/>
      <c r="U32" s="7"/>
      <c r="V32" s="7"/>
      <c r="W32" s="7"/>
      <c r="X32" s="7"/>
      <c r="Y32" s="7"/>
      <c r="Z32" s="6"/>
      <c r="AA32" s="6"/>
      <c r="AB32" s="4"/>
      <c r="AC32" s="4"/>
      <c r="AD32" s="4"/>
    </row>
    <row r="33" spans="1:30" ht="27" thickBot="1" x14ac:dyDescent="0.45">
      <c r="A33" s="24" t="s">
        <v>51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6"/>
      <c r="AA33" s="6"/>
      <c r="AB33" s="4"/>
      <c r="AC33" s="4"/>
      <c r="AD33" s="4"/>
    </row>
    <row r="34" spans="1:30" ht="15.75" thickBot="1" x14ac:dyDescent="0.2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6"/>
      <c r="AA34" s="6"/>
      <c r="AB34" s="4"/>
      <c r="AC34" s="4"/>
      <c r="AD34" s="4"/>
    </row>
    <row r="35" spans="1:30" s="3" customFormat="1" ht="18.75" thickBot="1" x14ac:dyDescent="0.3">
      <c r="A35" s="35" t="s">
        <v>52</v>
      </c>
      <c r="B35" s="70" t="s">
        <v>53</v>
      </c>
      <c r="C35" s="23" t="s">
        <v>2</v>
      </c>
      <c r="D35" s="23" t="s">
        <v>100</v>
      </c>
      <c r="E35" s="23" t="s">
        <v>3</v>
      </c>
      <c r="F35" s="23" t="s">
        <v>4</v>
      </c>
      <c r="G35" s="23" t="s">
        <v>5</v>
      </c>
      <c r="H35" s="23" t="s">
        <v>6</v>
      </c>
      <c r="I35" s="23" t="s">
        <v>7</v>
      </c>
      <c r="J35" s="23" t="s">
        <v>8</v>
      </c>
      <c r="K35" s="23" t="s">
        <v>9</v>
      </c>
      <c r="L35" s="23" t="s">
        <v>10</v>
      </c>
      <c r="M35" s="23" t="s">
        <v>11</v>
      </c>
      <c r="N35" s="23" t="s">
        <v>119</v>
      </c>
      <c r="O35" s="23" t="s">
        <v>12</v>
      </c>
      <c r="P35" s="23" t="s">
        <v>123</v>
      </c>
      <c r="Q35" s="23" t="s">
        <v>58</v>
      </c>
      <c r="R35" s="23" t="s">
        <v>13</v>
      </c>
      <c r="S35" s="23" t="s">
        <v>14</v>
      </c>
      <c r="T35" s="23" t="s">
        <v>15</v>
      </c>
      <c r="U35" s="23" t="s">
        <v>16</v>
      </c>
      <c r="V35" s="23" t="s">
        <v>17</v>
      </c>
      <c r="W35" s="23" t="s">
        <v>18</v>
      </c>
      <c r="X35" s="49" t="s">
        <v>19</v>
      </c>
      <c r="Y35" s="72"/>
      <c r="Z35" s="2"/>
      <c r="AA35" s="2"/>
      <c r="AB35" s="1"/>
      <c r="AC35" s="1"/>
      <c r="AD35" s="1"/>
    </row>
    <row r="36" spans="1:30" ht="15.75" customHeight="1" x14ac:dyDescent="0.2">
      <c r="A36" s="39">
        <v>2</v>
      </c>
      <c r="B36" s="20">
        <v>3</v>
      </c>
      <c r="C36" s="19" t="s">
        <v>65</v>
      </c>
      <c r="D36" s="69"/>
      <c r="E36" s="21">
        <f>AVERAGE(E2,E24:E25)</f>
        <v>-47.329051147575228</v>
      </c>
      <c r="F36" s="21">
        <f t="shared" ref="F36:X36" si="2">AVERAGE(F2,F24:F25)</f>
        <v>-0.57129308101677123</v>
      </c>
      <c r="G36" s="21">
        <f t="shared" si="2"/>
        <v>11.680592243761561</v>
      </c>
      <c r="H36" s="21">
        <f t="shared" si="2"/>
        <v>0.31884865814157132</v>
      </c>
      <c r="I36" s="21">
        <f t="shared" si="2"/>
        <v>-60.47795443971976</v>
      </c>
      <c r="J36" s="21">
        <f t="shared" si="2"/>
        <v>19.834319429715435</v>
      </c>
      <c r="K36" s="21">
        <f t="shared" si="2"/>
        <v>132.86838310490171</v>
      </c>
      <c r="L36" s="21">
        <f t="shared" si="2"/>
        <v>158.17865198783761</v>
      </c>
      <c r="M36" s="21">
        <f t="shared" si="2"/>
        <v>-54.582887199647011</v>
      </c>
      <c r="N36" s="21">
        <f t="shared" si="2"/>
        <v>2.9706638495006423</v>
      </c>
      <c r="O36" s="21">
        <f t="shared" si="2"/>
        <v>1.1428580296349733</v>
      </c>
      <c r="P36" s="21">
        <f t="shared" si="2"/>
        <v>85.333333333333329</v>
      </c>
      <c r="Q36" s="21">
        <f t="shared" si="2"/>
        <v>10</v>
      </c>
      <c r="R36" s="21">
        <f t="shared" si="2"/>
        <v>8.5333333333333332</v>
      </c>
      <c r="S36" s="21">
        <f t="shared" si="2"/>
        <v>13.666666666666666</v>
      </c>
      <c r="T36" s="21">
        <f t="shared" si="2"/>
        <v>13</v>
      </c>
      <c r="U36" s="95">
        <f t="shared" si="2"/>
        <v>6.2157098889334884E-2</v>
      </c>
      <c r="V36" s="21">
        <f t="shared" si="2"/>
        <v>-71.333333333333329</v>
      </c>
      <c r="W36" s="21">
        <f t="shared" si="2"/>
        <v>88.5</v>
      </c>
      <c r="X36" s="21">
        <f t="shared" si="2"/>
        <v>326.90000000000003</v>
      </c>
      <c r="Y36" s="8"/>
      <c r="Z36" s="6"/>
      <c r="AA36" s="6"/>
      <c r="AB36" s="4"/>
      <c r="AC36" s="4"/>
      <c r="AD36" s="4"/>
    </row>
    <row r="37" spans="1:30" ht="15.75" customHeight="1" x14ac:dyDescent="0.2">
      <c r="A37" s="41">
        <v>1</v>
      </c>
      <c r="B37" s="11">
        <v>1</v>
      </c>
      <c r="C37" s="15" t="s">
        <v>64</v>
      </c>
      <c r="D37" s="12"/>
      <c r="E37" s="13">
        <f>E21</f>
        <v>-42.606182962686553</v>
      </c>
      <c r="F37" s="13">
        <f t="shared" ref="F37:X37" si="3">F21</f>
        <v>-0.50708956753731416</v>
      </c>
      <c r="G37" s="13">
        <f t="shared" si="3"/>
        <v>17.614108425373143</v>
      </c>
      <c r="H37" s="13">
        <f t="shared" si="3"/>
        <v>0.39589551238805859</v>
      </c>
      <c r="I37" s="13">
        <f t="shared" si="3"/>
        <v>-54.909777298507493</v>
      </c>
      <c r="J37" s="13">
        <f t="shared" si="3"/>
        <v>14.825746268656705</v>
      </c>
      <c r="K37" s="13">
        <f t="shared" si="3"/>
        <v>74.90902246616541</v>
      </c>
      <c r="L37" s="13">
        <f t="shared" si="3"/>
        <v>146.73489246268653</v>
      </c>
      <c r="M37" s="13">
        <f t="shared" si="3"/>
        <v>-31.228136626865673</v>
      </c>
      <c r="N37" s="13">
        <f t="shared" si="3"/>
        <v>4.6988039733517111</v>
      </c>
      <c r="O37" s="13">
        <f t="shared" si="3"/>
        <v>1.6576818320895517</v>
      </c>
      <c r="P37" s="13">
        <f t="shared" si="3"/>
        <v>134</v>
      </c>
      <c r="Q37" s="13">
        <f t="shared" si="3"/>
        <v>10</v>
      </c>
      <c r="R37" s="13">
        <f>R21</f>
        <v>13.4</v>
      </c>
      <c r="S37" s="13">
        <f t="shared" si="3"/>
        <v>20.8</v>
      </c>
      <c r="T37" s="13">
        <f t="shared" si="3"/>
        <v>24.8</v>
      </c>
      <c r="U37" s="88">
        <f t="shared" si="3"/>
        <v>0.19230769230769229</v>
      </c>
      <c r="V37" s="13">
        <f t="shared" si="3"/>
        <v>-40</v>
      </c>
      <c r="W37" s="13">
        <f t="shared" si="3"/>
        <v>45.6</v>
      </c>
      <c r="X37" s="13">
        <f t="shared" si="3"/>
        <v>334.4</v>
      </c>
      <c r="Y37" s="8"/>
      <c r="Z37" s="6"/>
      <c r="AA37" s="6"/>
      <c r="AB37" s="4"/>
      <c r="AC37" s="4"/>
      <c r="AD37" s="4"/>
    </row>
    <row r="38" spans="1:30" ht="15.75" customHeight="1" x14ac:dyDescent="0.2">
      <c r="A38" s="41">
        <v>1</v>
      </c>
      <c r="B38" s="11">
        <v>3</v>
      </c>
      <c r="C38" s="15" t="s">
        <v>63</v>
      </c>
      <c r="D38" s="12"/>
      <c r="E38" s="13">
        <f>AVERAGE(E18:E20)</f>
        <v>-44.865711236738868</v>
      </c>
      <c r="F38" s="13">
        <f t="shared" ref="F38:X38" si="4">AVERAGE(F18:F20)</f>
        <v>-0.43538116157754264</v>
      </c>
      <c r="G38" s="13">
        <f t="shared" si="4"/>
        <v>8.7299335181807027</v>
      </c>
      <c r="H38" s="13">
        <f t="shared" si="4"/>
        <v>0.16742284816714006</v>
      </c>
      <c r="I38" s="13">
        <f t="shared" si="4"/>
        <v>-56.971540193405751</v>
      </c>
      <c r="J38" s="13">
        <f t="shared" si="4"/>
        <v>11.966975192428166</v>
      </c>
      <c r="K38" s="13">
        <f t="shared" si="4"/>
        <v>78.934009604165539</v>
      </c>
      <c r="L38" s="13">
        <f t="shared" si="4"/>
        <v>202.91986744268897</v>
      </c>
      <c r="M38" s="13">
        <f t="shared" si="4"/>
        <v>-104.13106322968692</v>
      </c>
      <c r="N38" s="13">
        <f t="shared" si="4"/>
        <v>2.0279948690754446</v>
      </c>
      <c r="O38" s="13">
        <f t="shared" si="4"/>
        <v>0.61952008730669528</v>
      </c>
      <c r="P38" s="13">
        <f t="shared" si="4"/>
        <v>144.66666666666666</v>
      </c>
      <c r="Q38" s="13">
        <f t="shared" si="4"/>
        <v>10</v>
      </c>
      <c r="R38" s="13">
        <f>AVERAGE(R18:R20)</f>
        <v>14.466666666666667</v>
      </c>
      <c r="S38" s="13">
        <f t="shared" si="4"/>
        <v>14.166666666666666</v>
      </c>
      <c r="T38" s="13">
        <f t="shared" si="4"/>
        <v>15.566666666666668</v>
      </c>
      <c r="U38" s="88">
        <f t="shared" si="4"/>
        <v>0.12403102530286657</v>
      </c>
      <c r="V38" s="13">
        <f t="shared" si="4"/>
        <v>-223.33333333333334</v>
      </c>
      <c r="W38" s="13">
        <f t="shared" si="4"/>
        <v>119.5</v>
      </c>
      <c r="X38" s="13">
        <f t="shared" si="4"/>
        <v>87.266666666666666</v>
      </c>
      <c r="Y38" s="8"/>
      <c r="Z38" s="6"/>
      <c r="AA38" s="6"/>
      <c r="AB38" s="4"/>
      <c r="AC38" s="4"/>
      <c r="AD38" s="4"/>
    </row>
    <row r="39" spans="1:30" ht="15.75" customHeight="1" x14ac:dyDescent="0.2">
      <c r="A39" s="41">
        <v>3</v>
      </c>
      <c r="B39" s="11">
        <v>12</v>
      </c>
      <c r="C39" s="15" t="s">
        <v>54</v>
      </c>
      <c r="D39" s="12"/>
      <c r="E39" s="13">
        <f>AVERAGE(E10:E15,E3:E6,E22:E23)</f>
        <v>-43.922334812581681</v>
      </c>
      <c r="F39" s="13">
        <f t="shared" ref="F39:X39" si="5">AVERAGE(F10:F15,F3:F6,F22:F23)</f>
        <v>-0.53003036666687187</v>
      </c>
      <c r="G39" s="13">
        <f t="shared" si="5"/>
        <v>16.683309270864349</v>
      </c>
      <c r="H39" s="13">
        <f t="shared" si="5"/>
        <v>0.26698855000866695</v>
      </c>
      <c r="I39" s="13">
        <f t="shared" si="5"/>
        <v>-54.799840973548363</v>
      </c>
      <c r="J39" s="13">
        <f t="shared" si="5"/>
        <v>10.066904345900017</v>
      </c>
      <c r="K39" s="13">
        <f t="shared" si="5"/>
        <v>43.218364437270679</v>
      </c>
      <c r="L39" s="13">
        <f t="shared" si="5"/>
        <v>195.68537704714524</v>
      </c>
      <c r="M39" s="13">
        <f t="shared" si="5"/>
        <v>-91.744009694886984</v>
      </c>
      <c r="N39" s="13">
        <f t="shared" si="5"/>
        <v>2.6697134010156538</v>
      </c>
      <c r="O39" s="13">
        <f t="shared" si="5"/>
        <v>1.0596582676930211</v>
      </c>
      <c r="P39" s="13">
        <f t="shared" si="5"/>
        <v>392.41666666666669</v>
      </c>
      <c r="Q39" s="13">
        <f t="shared" si="5"/>
        <v>10</v>
      </c>
      <c r="R39" s="13">
        <f>AVERAGE(R10:R15,R3:R6,R22:R23)</f>
        <v>39.241666666666667</v>
      </c>
      <c r="S39" s="13">
        <f t="shared" si="5"/>
        <v>17.75</v>
      </c>
      <c r="T39" s="13">
        <f t="shared" si="5"/>
        <v>18.408333333333335</v>
      </c>
      <c r="U39" s="88">
        <f t="shared" si="5"/>
        <v>7.1516837276838247E-2</v>
      </c>
      <c r="V39" s="13">
        <f t="shared" si="5"/>
        <v>-130.66666666666666</v>
      </c>
      <c r="W39" s="13">
        <f t="shared" si="5"/>
        <v>57.375</v>
      </c>
      <c r="X39" s="13">
        <f t="shared" si="5"/>
        <v>273.74166666666662</v>
      </c>
      <c r="Y39" s="8"/>
      <c r="Z39" s="6"/>
      <c r="AA39" s="6"/>
      <c r="AB39" s="4"/>
      <c r="AC39" s="4"/>
      <c r="AD39" s="4"/>
    </row>
    <row r="40" spans="1:30" ht="15.75" customHeight="1" x14ac:dyDescent="0.2">
      <c r="A40" s="41">
        <v>1</v>
      </c>
      <c r="B40" s="11">
        <v>3</v>
      </c>
      <c r="C40" s="15" t="s">
        <v>66</v>
      </c>
      <c r="D40" s="12"/>
      <c r="E40" s="13">
        <f>AVERAGE(E7:E9)</f>
        <v>-49.845852751075682</v>
      </c>
      <c r="F40" s="13">
        <f t="shared" ref="F40:X40" si="6">AVERAGE(F7:F9)</f>
        <v>-0.72357214621042465</v>
      </c>
      <c r="G40" s="13">
        <f t="shared" si="6"/>
        <v>14.670530009846857</v>
      </c>
      <c r="H40" s="13">
        <f t="shared" si="6"/>
        <v>0.37065435386953022</v>
      </c>
      <c r="I40" s="13">
        <f t="shared" si="6"/>
        <v>-57.935749261091992</v>
      </c>
      <c r="J40" s="13">
        <f t="shared" si="6"/>
        <v>10.550424487638194</v>
      </c>
      <c r="K40" s="13">
        <f t="shared" si="6"/>
        <v>43.877819343314577</v>
      </c>
      <c r="L40" s="13">
        <f t="shared" si="6"/>
        <v>120.72666407691797</v>
      </c>
      <c r="M40" s="13">
        <f t="shared" si="6"/>
        <v>-44.745656888285417</v>
      </c>
      <c r="N40" s="13">
        <f t="shared" si="6"/>
        <v>2.7339379844745149</v>
      </c>
      <c r="O40" s="13">
        <f t="shared" si="6"/>
        <v>1.4695460480603459</v>
      </c>
      <c r="P40" s="13">
        <f t="shared" si="6"/>
        <v>250.33333333333334</v>
      </c>
      <c r="Q40" s="13">
        <f t="shared" si="6"/>
        <v>10</v>
      </c>
      <c r="R40" s="13">
        <f>AVERAGE(R7:R9)</f>
        <v>25.033333333333331</v>
      </c>
      <c r="S40" s="13">
        <f t="shared" si="6"/>
        <v>21.299999999999997</v>
      </c>
      <c r="T40" s="13">
        <f t="shared" si="6"/>
        <v>22.533333333333331</v>
      </c>
      <c r="U40" s="88">
        <f t="shared" si="6"/>
        <v>5.7658749839275603E-2</v>
      </c>
      <c r="V40" s="13">
        <f t="shared" si="6"/>
        <v>-143.33333333333334</v>
      </c>
      <c r="W40" s="13">
        <f t="shared" si="6"/>
        <v>36.266666666666673</v>
      </c>
      <c r="X40" s="13">
        <f t="shared" si="6"/>
        <v>359.2</v>
      </c>
      <c r="Y40" s="8"/>
      <c r="Z40" s="6"/>
      <c r="AA40" s="6"/>
      <c r="AB40" s="4"/>
      <c r="AC40" s="4"/>
      <c r="AD40" s="4"/>
    </row>
    <row r="41" spans="1:30" ht="15.75" customHeight="1" thickBot="1" x14ac:dyDescent="0.25">
      <c r="A41" s="43">
        <v>2</v>
      </c>
      <c r="B41" s="66">
        <v>2</v>
      </c>
      <c r="C41" s="68" t="s">
        <v>67</v>
      </c>
      <c r="D41" s="71"/>
      <c r="E41" s="67">
        <f>AVERAGE(E16:E17)</f>
        <v>-40.79425433116468</v>
      </c>
      <c r="F41" s="67">
        <f t="shared" ref="F41:X41" si="7">AVERAGE(F16:F17)</f>
        <v>-0.47023990801005205</v>
      </c>
      <c r="G41" s="67">
        <f t="shared" si="7"/>
        <v>-0.91458578750743036</v>
      </c>
      <c r="H41" s="67">
        <f t="shared" si="7"/>
        <v>0.10669225631445495</v>
      </c>
      <c r="I41" s="67">
        <f t="shared" si="7"/>
        <v>-52.083068732687508</v>
      </c>
      <c r="J41" s="67">
        <f t="shared" si="7"/>
        <v>1.493339475180536</v>
      </c>
      <c r="K41" s="67">
        <f t="shared" si="7"/>
        <v>7.3426469637116263</v>
      </c>
      <c r="L41" s="67">
        <f t="shared" si="7"/>
        <v>149.80603544823904</v>
      </c>
      <c r="M41" s="67">
        <f t="shared" si="7"/>
        <v>-114.27311668291168</v>
      </c>
      <c r="N41" s="67">
        <f t="shared" si="7"/>
        <v>1.3112541619252434</v>
      </c>
      <c r="O41" s="67">
        <f t="shared" si="7"/>
        <v>0.43176764171066373</v>
      </c>
      <c r="P41" s="67">
        <f t="shared" si="7"/>
        <v>1385.5</v>
      </c>
      <c r="Q41" s="67">
        <f t="shared" si="7"/>
        <v>10</v>
      </c>
      <c r="R41" s="67">
        <f>AVERAGE(R16:R17)</f>
        <v>138.55000000000001</v>
      </c>
      <c r="S41" s="67">
        <f t="shared" si="7"/>
        <v>13.399999999999999</v>
      </c>
      <c r="T41" s="67">
        <f t="shared" si="7"/>
        <v>15</v>
      </c>
      <c r="U41" s="96">
        <f t="shared" si="7"/>
        <v>9.9319887429643566E-2</v>
      </c>
      <c r="V41" s="67">
        <f t="shared" si="7"/>
        <v>-450</v>
      </c>
      <c r="W41" s="67">
        <f t="shared" si="7"/>
        <v>67.2</v>
      </c>
      <c r="X41" s="67">
        <f t="shared" si="7"/>
        <v>111.75</v>
      </c>
      <c r="Y41" s="8"/>
      <c r="Z41" s="6"/>
      <c r="AA41" s="6"/>
      <c r="AB41" s="4"/>
      <c r="AC41" s="4"/>
      <c r="AD41" s="4"/>
    </row>
    <row r="42" spans="1:30" ht="15.75" customHeight="1" x14ac:dyDescent="0.2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6"/>
      <c r="AA42" s="6"/>
      <c r="AB42" s="4"/>
      <c r="AC42" s="4"/>
      <c r="AD42" s="4"/>
    </row>
    <row r="43" spans="1:30" ht="15.75" customHeight="1" x14ac:dyDescent="0.2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6"/>
      <c r="AA43" s="6"/>
      <c r="AB43" s="4"/>
      <c r="AC43" s="4"/>
      <c r="AD43" s="4"/>
    </row>
    <row r="44" spans="1:30" ht="15.75" customHeight="1" x14ac:dyDescent="0.2">
      <c r="A44" s="6"/>
      <c r="B44" s="7"/>
      <c r="C44" s="9"/>
      <c r="D44" s="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6"/>
      <c r="AA44" s="6"/>
      <c r="AB44" s="4"/>
      <c r="AC44" s="4"/>
      <c r="AD44" s="4"/>
    </row>
    <row r="45" spans="1:30" ht="15.75" customHeight="1" x14ac:dyDescent="0.2">
      <c r="A45" s="6"/>
      <c r="B45" s="7"/>
      <c r="C45" s="9"/>
      <c r="D45" s="9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6"/>
      <c r="AA45" s="6"/>
      <c r="AB45" s="4"/>
      <c r="AC45" s="4"/>
      <c r="AD45" s="4"/>
    </row>
    <row r="46" spans="1:30" ht="15.75" customHeight="1" x14ac:dyDescent="0.2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6"/>
      <c r="AA46" s="6"/>
      <c r="AB46" s="4"/>
      <c r="AC46" s="4"/>
      <c r="AD46" s="4"/>
    </row>
    <row r="47" spans="1:30" ht="15.75" customHeight="1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6"/>
      <c r="AA47" s="6"/>
      <c r="AB47" s="4"/>
      <c r="AC47" s="4"/>
      <c r="AD47" s="4"/>
    </row>
    <row r="48" spans="1:30" ht="15.75" customHeight="1" x14ac:dyDescent="0.2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6"/>
      <c r="AA48" s="6"/>
      <c r="AB48" s="4"/>
      <c r="AC48" s="4"/>
      <c r="AD48" s="4"/>
    </row>
    <row r="49" spans="1:30" ht="15.75" customHeight="1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6"/>
      <c r="AA49" s="6"/>
      <c r="AB49" s="4"/>
      <c r="AC49" s="4"/>
      <c r="AD49" s="4"/>
    </row>
    <row r="50" spans="1:30" ht="15.75" customHeight="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6"/>
      <c r="AA50" s="6"/>
      <c r="AB50" s="4"/>
      <c r="AC50" s="4"/>
      <c r="AD50" s="4"/>
    </row>
    <row r="51" spans="1:30" ht="15.75" customHeight="1" x14ac:dyDescent="0.2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6"/>
      <c r="AA51" s="6"/>
      <c r="AB51" s="4"/>
      <c r="AC51" s="4"/>
      <c r="AD51" s="4"/>
    </row>
    <row r="52" spans="1:30" ht="15.75" customHeight="1" x14ac:dyDescent="0.2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6"/>
      <c r="AA52" s="6"/>
      <c r="AB52" s="4"/>
      <c r="AC52" s="4"/>
      <c r="AD52" s="4"/>
    </row>
    <row r="53" spans="1:30" ht="15.75" customHeight="1" x14ac:dyDescent="0.2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6"/>
      <c r="AA53" s="6"/>
      <c r="AB53" s="4"/>
      <c r="AC53" s="4"/>
      <c r="AD53" s="4"/>
    </row>
    <row r="54" spans="1:30" ht="15.75" customHeight="1" x14ac:dyDescent="0.2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6"/>
      <c r="AA54" s="6"/>
      <c r="AB54" s="4"/>
      <c r="AC54" s="4"/>
      <c r="AD54" s="4"/>
    </row>
    <row r="55" spans="1:30" ht="15.75" customHeight="1" x14ac:dyDescent="0.2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6"/>
      <c r="AA55" s="6"/>
      <c r="AB55" s="4"/>
      <c r="AC55" s="4"/>
      <c r="AD55" s="4"/>
    </row>
    <row r="56" spans="1:30" ht="15.75" customHeight="1" x14ac:dyDescent="0.2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6"/>
      <c r="AA56" s="6"/>
      <c r="AB56" s="4"/>
      <c r="AC56" s="4"/>
      <c r="AD56" s="4"/>
    </row>
    <row r="57" spans="1:30" ht="15.75" customHeight="1" x14ac:dyDescent="0.2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6"/>
      <c r="AA57" s="6"/>
      <c r="AB57" s="4"/>
      <c r="AC57" s="4"/>
      <c r="AD57" s="4"/>
    </row>
    <row r="58" spans="1:30" ht="15.75" customHeight="1" x14ac:dyDescent="0.2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6"/>
      <c r="AA58" s="6"/>
      <c r="AB58" s="4"/>
      <c r="AC58" s="4"/>
      <c r="AD58" s="4"/>
    </row>
    <row r="59" spans="1:30" ht="15.75" customHeight="1" x14ac:dyDescent="0.2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6"/>
      <c r="AA59" s="6"/>
      <c r="AB59" s="4"/>
      <c r="AC59" s="4"/>
      <c r="AD59" s="4"/>
    </row>
    <row r="60" spans="1:30" ht="15.75" customHeight="1" x14ac:dyDescent="0.2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6"/>
      <c r="AA60" s="6"/>
      <c r="AB60" s="4"/>
      <c r="AC60" s="4"/>
      <c r="AD60" s="4"/>
    </row>
    <row r="61" spans="1:30" ht="15.75" customHeight="1" x14ac:dyDescent="0.2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6"/>
      <c r="AA61" s="6"/>
      <c r="AB61" s="4"/>
      <c r="AC61" s="4"/>
      <c r="AD61" s="4"/>
    </row>
    <row r="62" spans="1:30" ht="15.75" customHeight="1" x14ac:dyDescent="0.2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6"/>
      <c r="AA62" s="6"/>
      <c r="AB62" s="4"/>
      <c r="AC62" s="4"/>
      <c r="AD62" s="4"/>
    </row>
    <row r="63" spans="1:30" ht="15.75" customHeight="1" x14ac:dyDescent="0.2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6"/>
      <c r="AA63" s="6"/>
      <c r="AB63" s="4"/>
      <c r="AC63" s="4"/>
      <c r="AD63" s="4"/>
    </row>
    <row r="64" spans="1:30" ht="15.75" customHeight="1" x14ac:dyDescent="0.2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6"/>
      <c r="AA64" s="6"/>
      <c r="AB64" s="4"/>
      <c r="AC64" s="4"/>
      <c r="AD64" s="4"/>
    </row>
    <row r="65" spans="1:30" ht="15.75" customHeight="1" x14ac:dyDescent="0.2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6"/>
      <c r="AA65" s="6"/>
      <c r="AB65" s="4"/>
      <c r="AC65" s="4"/>
      <c r="AD65" s="4"/>
    </row>
    <row r="66" spans="1:30" ht="15.75" customHeight="1" x14ac:dyDescent="0.2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6"/>
      <c r="AA66" s="6"/>
      <c r="AB66" s="4"/>
      <c r="AC66" s="4"/>
      <c r="AD66" s="4"/>
    </row>
    <row r="67" spans="1:30" ht="15.75" customHeight="1" x14ac:dyDescent="0.2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6"/>
      <c r="AA67" s="6"/>
      <c r="AB67" s="4"/>
      <c r="AC67" s="4"/>
      <c r="AD67" s="4"/>
    </row>
    <row r="68" spans="1:30" ht="15.75" customHeight="1" x14ac:dyDescent="0.2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6"/>
      <c r="AA68" s="6"/>
      <c r="AB68" s="4"/>
      <c r="AC68" s="4"/>
      <c r="AD68" s="4"/>
    </row>
    <row r="69" spans="1:30" ht="15.75" customHeight="1" x14ac:dyDescent="0.2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6"/>
      <c r="AA69" s="6"/>
      <c r="AB69" s="4"/>
      <c r="AC69" s="4"/>
      <c r="AD69" s="4"/>
    </row>
    <row r="70" spans="1:30" ht="15.75" customHeight="1" x14ac:dyDescent="0.2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6"/>
      <c r="AA70" s="6"/>
      <c r="AB70" s="4"/>
      <c r="AC70" s="4"/>
      <c r="AD70" s="4"/>
    </row>
    <row r="71" spans="1:30" ht="15.75" customHeight="1" x14ac:dyDescent="0.2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6"/>
      <c r="AA71" s="6"/>
      <c r="AB71" s="4"/>
      <c r="AC71" s="4"/>
      <c r="AD71" s="4"/>
    </row>
    <row r="72" spans="1:30" ht="15.75" customHeight="1" x14ac:dyDescent="0.2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6"/>
      <c r="AA72" s="6"/>
      <c r="AB72" s="4"/>
      <c r="AC72" s="4"/>
      <c r="AD72" s="4"/>
    </row>
    <row r="73" spans="1:30" ht="15.75" customHeight="1" x14ac:dyDescent="0.2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6"/>
      <c r="AA73" s="6"/>
      <c r="AB73" s="4"/>
      <c r="AC73" s="4"/>
      <c r="AD73" s="4"/>
    </row>
    <row r="74" spans="1:30" ht="15.75" customHeight="1" x14ac:dyDescent="0.2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6"/>
      <c r="AA74" s="6"/>
      <c r="AB74" s="4"/>
      <c r="AC74" s="4"/>
      <c r="AD74" s="4"/>
    </row>
    <row r="75" spans="1:30" ht="15.75" customHeight="1" x14ac:dyDescent="0.2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6"/>
      <c r="AA75" s="6"/>
      <c r="AB75" s="4"/>
      <c r="AC75" s="4"/>
      <c r="AD75" s="4"/>
    </row>
    <row r="76" spans="1:30" ht="15.75" customHeight="1" x14ac:dyDescent="0.2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6"/>
      <c r="AA76" s="6"/>
      <c r="AB76" s="4"/>
      <c r="AC76" s="4"/>
      <c r="AD76" s="4"/>
    </row>
    <row r="77" spans="1:30" ht="15.75" customHeight="1" x14ac:dyDescent="0.2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6"/>
      <c r="AA77" s="6"/>
      <c r="AB77" s="4"/>
      <c r="AC77" s="4"/>
      <c r="AD77" s="4"/>
    </row>
    <row r="78" spans="1:30" ht="15.75" customHeight="1" x14ac:dyDescent="0.2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6"/>
      <c r="AA78" s="6"/>
      <c r="AB78" s="4"/>
      <c r="AC78" s="4"/>
      <c r="AD78" s="4"/>
    </row>
    <row r="79" spans="1:30" ht="15.75" customHeight="1" x14ac:dyDescent="0.2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6"/>
      <c r="AA79" s="6"/>
      <c r="AB79" s="4"/>
      <c r="AC79" s="4"/>
      <c r="AD79" s="4"/>
    </row>
    <row r="80" spans="1:30" ht="15.75" customHeight="1" x14ac:dyDescent="0.2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6"/>
      <c r="AA80" s="6"/>
      <c r="AB80" s="4"/>
      <c r="AC80" s="4"/>
      <c r="AD80" s="4"/>
    </row>
    <row r="81" spans="1:30" ht="15.75" customHeight="1" x14ac:dyDescent="0.2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6"/>
      <c r="AA81" s="6"/>
      <c r="AB81" s="4"/>
      <c r="AC81" s="4"/>
      <c r="AD81" s="4"/>
    </row>
    <row r="82" spans="1:30" ht="15.75" customHeight="1" x14ac:dyDescent="0.2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6"/>
      <c r="AA82" s="6"/>
      <c r="AB82" s="4"/>
      <c r="AC82" s="4"/>
      <c r="AD82" s="4"/>
    </row>
    <row r="83" spans="1:30" ht="15.75" customHeight="1" x14ac:dyDescent="0.2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6"/>
      <c r="AA83" s="6"/>
      <c r="AB83" s="4"/>
      <c r="AC83" s="4"/>
      <c r="AD83" s="4"/>
    </row>
    <row r="84" spans="1:30" ht="15.75" customHeight="1" x14ac:dyDescent="0.2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6"/>
      <c r="AA84" s="6"/>
      <c r="AB84" s="4"/>
      <c r="AC84" s="4"/>
      <c r="AD84" s="4"/>
    </row>
    <row r="85" spans="1:30" ht="15.75" customHeight="1" x14ac:dyDescent="0.2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6"/>
      <c r="AA85" s="6"/>
      <c r="AB85" s="4"/>
      <c r="AC85" s="4"/>
      <c r="AD85" s="4"/>
    </row>
    <row r="86" spans="1:30" ht="15.75" customHeight="1" x14ac:dyDescent="0.2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6"/>
      <c r="AA86" s="6"/>
      <c r="AB86" s="4"/>
      <c r="AC86" s="4"/>
      <c r="AD86" s="4"/>
    </row>
    <row r="87" spans="1:30" ht="15.75" customHeight="1" x14ac:dyDescent="0.2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6"/>
      <c r="AA87" s="6"/>
      <c r="AB87" s="4"/>
      <c r="AC87" s="4"/>
      <c r="AD87" s="4"/>
    </row>
    <row r="88" spans="1:30" ht="15.75" customHeight="1" x14ac:dyDescent="0.2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6"/>
      <c r="AA88" s="6"/>
      <c r="AB88" s="4"/>
      <c r="AC88" s="4"/>
      <c r="AD88" s="4"/>
    </row>
    <row r="89" spans="1:30" ht="15.75" customHeight="1" x14ac:dyDescent="0.2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6"/>
      <c r="AA89" s="6"/>
      <c r="AB89" s="4"/>
      <c r="AC89" s="4"/>
      <c r="AD89" s="4"/>
    </row>
    <row r="90" spans="1:30" ht="15.75" customHeight="1" x14ac:dyDescent="0.2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6"/>
      <c r="AA90" s="6"/>
      <c r="AB90" s="4"/>
      <c r="AC90" s="4"/>
      <c r="AD90" s="4"/>
    </row>
    <row r="91" spans="1:30" ht="15.75" customHeight="1" x14ac:dyDescent="0.2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6"/>
      <c r="AA91" s="6"/>
      <c r="AB91" s="4"/>
      <c r="AC91" s="4"/>
      <c r="AD91" s="4"/>
    </row>
    <row r="92" spans="1:30" ht="15.75" customHeight="1" x14ac:dyDescent="0.2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6"/>
      <c r="AA92" s="6"/>
      <c r="AB92" s="4"/>
      <c r="AC92" s="4"/>
      <c r="AD92" s="4"/>
    </row>
    <row r="93" spans="1:30" ht="15.75" customHeight="1" x14ac:dyDescent="0.2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6"/>
      <c r="AA93" s="6"/>
      <c r="AB93" s="4"/>
      <c r="AC93" s="4"/>
      <c r="AD93" s="4"/>
    </row>
    <row r="94" spans="1:30" ht="15.75" customHeight="1" x14ac:dyDescent="0.2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6"/>
      <c r="AA94" s="6"/>
      <c r="AB94" s="4"/>
      <c r="AC94" s="4"/>
      <c r="AD94" s="4"/>
    </row>
    <row r="95" spans="1:30" ht="15.75" customHeight="1" x14ac:dyDescent="0.2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6"/>
      <c r="AA95" s="6"/>
      <c r="AB95" s="4"/>
      <c r="AC95" s="4"/>
      <c r="AD95" s="4"/>
    </row>
    <row r="96" spans="1:30" ht="15.75" customHeight="1" x14ac:dyDescent="0.2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6"/>
      <c r="AA96" s="6"/>
      <c r="AB96" s="4"/>
      <c r="AC96" s="4"/>
      <c r="AD96" s="4"/>
    </row>
    <row r="97" spans="1:30" ht="15.75" customHeight="1" x14ac:dyDescent="0.2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6"/>
      <c r="AA97" s="6"/>
      <c r="AB97" s="4"/>
      <c r="AC97" s="4"/>
      <c r="AD97" s="4"/>
    </row>
    <row r="98" spans="1:30" ht="15.75" customHeight="1" x14ac:dyDescent="0.2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6"/>
      <c r="AA98" s="6"/>
      <c r="AB98" s="4"/>
      <c r="AC98" s="4"/>
      <c r="AD98" s="4"/>
    </row>
    <row r="99" spans="1:30" ht="15.75" customHeight="1" x14ac:dyDescent="0.2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6"/>
      <c r="AA99" s="6"/>
      <c r="AB99" s="4"/>
      <c r="AC99" s="4"/>
      <c r="AD99" s="4"/>
    </row>
    <row r="100" spans="1:30" ht="15.75" customHeight="1" x14ac:dyDescent="0.2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6"/>
      <c r="AA100" s="6"/>
      <c r="AB100" s="4"/>
      <c r="AC100" s="4"/>
      <c r="AD100" s="4"/>
    </row>
    <row r="101" spans="1:30" ht="15.75" customHeight="1" x14ac:dyDescent="0.2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6"/>
      <c r="AA101" s="6"/>
      <c r="AB101" s="4"/>
      <c r="AC101" s="4"/>
      <c r="AD101" s="4"/>
    </row>
    <row r="102" spans="1:30" ht="15.75" customHeight="1" x14ac:dyDescent="0.2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6"/>
      <c r="AA102" s="6"/>
      <c r="AB102" s="4"/>
      <c r="AC102" s="4"/>
      <c r="AD102" s="4"/>
    </row>
    <row r="103" spans="1:30" ht="15.75" customHeight="1" x14ac:dyDescent="0.2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6"/>
      <c r="AA103" s="6"/>
      <c r="AB103" s="4"/>
      <c r="AC103" s="4"/>
      <c r="AD103" s="4"/>
    </row>
    <row r="104" spans="1:30" ht="15.75" customHeight="1" x14ac:dyDescent="0.2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6"/>
      <c r="AA104" s="6"/>
      <c r="AB104" s="4"/>
      <c r="AC104" s="4"/>
      <c r="AD104" s="4"/>
    </row>
    <row r="105" spans="1:30" ht="15.75" customHeight="1" x14ac:dyDescent="0.2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6"/>
      <c r="AA105" s="6"/>
      <c r="AB105" s="4"/>
      <c r="AC105" s="4"/>
      <c r="AD105" s="4"/>
    </row>
    <row r="106" spans="1:30" ht="15.75" customHeight="1" x14ac:dyDescent="0.2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6"/>
      <c r="AA106" s="6"/>
      <c r="AB106" s="4"/>
      <c r="AC106" s="4"/>
      <c r="AD106" s="4"/>
    </row>
    <row r="107" spans="1:30" ht="15.75" customHeight="1" x14ac:dyDescent="0.2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6"/>
      <c r="AA107" s="6"/>
      <c r="AB107" s="4"/>
      <c r="AC107" s="4"/>
      <c r="AD107" s="4"/>
    </row>
    <row r="108" spans="1:30" ht="15.75" customHeight="1" x14ac:dyDescent="0.2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6"/>
      <c r="AA108" s="6"/>
      <c r="AB108" s="4"/>
      <c r="AC108" s="4"/>
      <c r="AD108" s="4"/>
    </row>
    <row r="109" spans="1:30" ht="15.75" customHeight="1" x14ac:dyDescent="0.2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6"/>
      <c r="AA109" s="6"/>
      <c r="AB109" s="4"/>
      <c r="AC109" s="4"/>
      <c r="AD109" s="4"/>
    </row>
    <row r="110" spans="1:30" ht="15.75" customHeight="1" x14ac:dyDescent="0.2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6"/>
      <c r="AA110" s="6"/>
      <c r="AB110" s="4"/>
      <c r="AC110" s="4"/>
      <c r="AD110" s="4"/>
    </row>
    <row r="111" spans="1:30" ht="15.75" customHeight="1" x14ac:dyDescent="0.2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6"/>
      <c r="AA111" s="6"/>
      <c r="AB111" s="4"/>
      <c r="AC111" s="4"/>
      <c r="AD111" s="4"/>
    </row>
    <row r="112" spans="1:30" ht="15.75" customHeight="1" x14ac:dyDescent="0.2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6"/>
      <c r="AA112" s="6"/>
      <c r="AB112" s="4"/>
      <c r="AC112" s="4"/>
      <c r="AD112" s="4"/>
    </row>
    <row r="113" spans="1:30" ht="15.75" customHeight="1" x14ac:dyDescent="0.2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6"/>
      <c r="AA113" s="6"/>
      <c r="AB113" s="4"/>
      <c r="AC113" s="4"/>
      <c r="AD113" s="4"/>
    </row>
    <row r="114" spans="1:30" ht="15.75" customHeight="1" x14ac:dyDescent="0.2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6"/>
      <c r="AA114" s="6"/>
      <c r="AB114" s="4"/>
      <c r="AC114" s="4"/>
      <c r="AD114" s="4"/>
    </row>
    <row r="115" spans="1:30" ht="15.75" customHeight="1" x14ac:dyDescent="0.2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6"/>
      <c r="AA115" s="6"/>
      <c r="AB115" s="4"/>
      <c r="AC115" s="4"/>
      <c r="AD115" s="4"/>
    </row>
    <row r="116" spans="1:30" ht="15.75" customHeight="1" x14ac:dyDescent="0.2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6"/>
      <c r="AA116" s="6"/>
      <c r="AB116" s="4"/>
      <c r="AC116" s="4"/>
      <c r="AD116" s="4"/>
    </row>
    <row r="117" spans="1:30" ht="15.75" customHeight="1" x14ac:dyDescent="0.2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6"/>
      <c r="AA117" s="6"/>
      <c r="AB117" s="4"/>
      <c r="AC117" s="4"/>
      <c r="AD117" s="4"/>
    </row>
    <row r="118" spans="1:30" ht="15.75" customHeight="1" x14ac:dyDescent="0.2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6"/>
      <c r="AA118" s="6"/>
      <c r="AB118" s="4"/>
      <c r="AC118" s="4"/>
      <c r="AD118" s="4"/>
    </row>
    <row r="119" spans="1:30" ht="15.75" customHeight="1" x14ac:dyDescent="0.2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6"/>
      <c r="AA119" s="6"/>
      <c r="AB119" s="4"/>
      <c r="AC119" s="4"/>
      <c r="AD119" s="4"/>
    </row>
    <row r="120" spans="1:30" ht="15.75" customHeight="1" x14ac:dyDescent="0.2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6"/>
      <c r="AA120" s="6"/>
      <c r="AB120" s="4"/>
      <c r="AC120" s="4"/>
      <c r="AD120" s="4"/>
    </row>
    <row r="121" spans="1:30" ht="15.75" customHeight="1" x14ac:dyDescent="0.2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6"/>
      <c r="AA121" s="6"/>
      <c r="AB121" s="4"/>
      <c r="AC121" s="4"/>
      <c r="AD121" s="4"/>
    </row>
    <row r="122" spans="1:30" ht="15.75" customHeight="1" x14ac:dyDescent="0.2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6"/>
      <c r="AA122" s="6"/>
      <c r="AB122" s="4"/>
      <c r="AC122" s="4"/>
      <c r="AD122" s="4"/>
    </row>
    <row r="123" spans="1:30" ht="15.75" customHeight="1" x14ac:dyDescent="0.2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6"/>
      <c r="AA123" s="6"/>
      <c r="AB123" s="4"/>
      <c r="AC123" s="4"/>
      <c r="AD123" s="4"/>
    </row>
    <row r="124" spans="1:30" ht="15.75" customHeight="1" x14ac:dyDescent="0.2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6"/>
      <c r="AA124" s="6"/>
      <c r="AB124" s="4"/>
      <c r="AC124" s="4"/>
      <c r="AD124" s="4"/>
    </row>
    <row r="125" spans="1:30" ht="15.75" customHeight="1" x14ac:dyDescent="0.2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6"/>
      <c r="AA125" s="6"/>
      <c r="AB125" s="4"/>
      <c r="AC125" s="4"/>
      <c r="AD125" s="4"/>
    </row>
    <row r="126" spans="1:30" ht="15.75" customHeight="1" x14ac:dyDescent="0.2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6"/>
      <c r="AA126" s="6"/>
      <c r="AB126" s="4"/>
      <c r="AC126" s="4"/>
      <c r="AD126" s="4"/>
    </row>
    <row r="127" spans="1:30" ht="15.75" customHeight="1" x14ac:dyDescent="0.2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6"/>
      <c r="AA127" s="6"/>
      <c r="AB127" s="4"/>
      <c r="AC127" s="4"/>
      <c r="AD127" s="4"/>
    </row>
    <row r="128" spans="1:30" ht="15.75" customHeight="1" x14ac:dyDescent="0.2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6"/>
      <c r="AA128" s="6"/>
      <c r="AB128" s="4"/>
      <c r="AC128" s="4"/>
      <c r="AD128" s="4"/>
    </row>
    <row r="129" spans="1:30" ht="15.75" customHeight="1" x14ac:dyDescent="0.2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6"/>
      <c r="AA129" s="6"/>
      <c r="AB129" s="4"/>
      <c r="AC129" s="4"/>
      <c r="AD129" s="4"/>
    </row>
    <row r="130" spans="1:30" ht="15.75" customHeight="1" x14ac:dyDescent="0.2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6"/>
      <c r="AA130" s="6"/>
      <c r="AB130" s="4"/>
      <c r="AC130" s="4"/>
      <c r="AD130" s="4"/>
    </row>
    <row r="131" spans="1:30" ht="15.75" customHeight="1" x14ac:dyDescent="0.2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6"/>
      <c r="AA131" s="6"/>
      <c r="AB131" s="4"/>
      <c r="AC131" s="4"/>
      <c r="AD131" s="4"/>
    </row>
    <row r="132" spans="1:30" ht="15.75" customHeight="1" x14ac:dyDescent="0.2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6"/>
      <c r="AA132" s="6"/>
      <c r="AB132" s="4"/>
      <c r="AC132" s="4"/>
      <c r="AD132" s="4"/>
    </row>
    <row r="133" spans="1:30" ht="15.75" customHeight="1" x14ac:dyDescent="0.2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6"/>
      <c r="AA133" s="6"/>
      <c r="AB133" s="4"/>
      <c r="AC133" s="4"/>
      <c r="AD133" s="4"/>
    </row>
    <row r="134" spans="1:30" ht="15.75" customHeight="1" x14ac:dyDescent="0.2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6"/>
      <c r="AA134" s="6"/>
      <c r="AB134" s="4"/>
      <c r="AC134" s="4"/>
      <c r="AD134" s="4"/>
    </row>
    <row r="135" spans="1:30" ht="15.75" customHeight="1" x14ac:dyDescent="0.2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6"/>
      <c r="AA135" s="6"/>
      <c r="AB135" s="4"/>
      <c r="AC135" s="4"/>
      <c r="AD135" s="4"/>
    </row>
    <row r="136" spans="1:30" ht="15.75" customHeight="1" x14ac:dyDescent="0.2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6"/>
      <c r="AA136" s="6"/>
      <c r="AB136" s="4"/>
      <c r="AC136" s="4"/>
      <c r="AD136" s="4"/>
    </row>
    <row r="137" spans="1:30" ht="15.75" customHeight="1" x14ac:dyDescent="0.2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6"/>
      <c r="AA137" s="6"/>
      <c r="AB137" s="4"/>
      <c r="AC137" s="4"/>
      <c r="AD137" s="4"/>
    </row>
    <row r="138" spans="1:30" ht="15.75" customHeight="1" x14ac:dyDescent="0.2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6"/>
      <c r="AA138" s="6"/>
      <c r="AB138" s="4"/>
      <c r="AC138" s="4"/>
      <c r="AD138" s="4"/>
    </row>
    <row r="139" spans="1:30" ht="15.75" customHeight="1" x14ac:dyDescent="0.2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6"/>
      <c r="AA139" s="6"/>
      <c r="AB139" s="4"/>
      <c r="AC139" s="4"/>
      <c r="AD139" s="4"/>
    </row>
    <row r="140" spans="1:30" ht="15.75" customHeight="1" x14ac:dyDescent="0.2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6"/>
      <c r="AA140" s="6"/>
      <c r="AB140" s="4"/>
      <c r="AC140" s="4"/>
      <c r="AD140" s="4"/>
    </row>
    <row r="141" spans="1:30" ht="15.75" customHeight="1" x14ac:dyDescent="0.2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6"/>
      <c r="AA141" s="6"/>
      <c r="AB141" s="4"/>
      <c r="AC141" s="4"/>
      <c r="AD141" s="4"/>
    </row>
    <row r="142" spans="1:30" ht="15.75" customHeight="1" x14ac:dyDescent="0.2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6"/>
      <c r="AA142" s="6"/>
      <c r="AB142" s="4"/>
      <c r="AC142" s="4"/>
      <c r="AD142" s="4"/>
    </row>
    <row r="143" spans="1:30" ht="15.75" customHeight="1" x14ac:dyDescent="0.2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6"/>
      <c r="AA143" s="6"/>
      <c r="AB143" s="4"/>
      <c r="AC143" s="4"/>
      <c r="AD143" s="4"/>
    </row>
    <row r="144" spans="1:30" ht="15.75" customHeight="1" x14ac:dyDescent="0.2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6"/>
      <c r="AA144" s="6"/>
      <c r="AB144" s="4"/>
      <c r="AC144" s="4"/>
      <c r="AD144" s="4"/>
    </row>
    <row r="145" spans="1:30" ht="15.75" customHeight="1" x14ac:dyDescent="0.2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6"/>
      <c r="AA145" s="6"/>
      <c r="AB145" s="4"/>
      <c r="AC145" s="4"/>
      <c r="AD145" s="4"/>
    </row>
    <row r="146" spans="1:30" ht="15.75" customHeight="1" x14ac:dyDescent="0.2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6"/>
      <c r="AA146" s="6"/>
      <c r="AB146" s="4"/>
      <c r="AC146" s="4"/>
      <c r="AD146" s="4"/>
    </row>
    <row r="147" spans="1:30" ht="15.75" customHeight="1" x14ac:dyDescent="0.2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6"/>
      <c r="AA147" s="6"/>
      <c r="AB147" s="4"/>
      <c r="AC147" s="4"/>
      <c r="AD147" s="4"/>
    </row>
    <row r="148" spans="1:30" ht="15.75" customHeight="1" x14ac:dyDescent="0.2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6"/>
      <c r="AA148" s="6"/>
      <c r="AB148" s="4"/>
      <c r="AC148" s="4"/>
      <c r="AD148" s="4"/>
    </row>
    <row r="149" spans="1:30" ht="15.75" customHeight="1" x14ac:dyDescent="0.2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6"/>
      <c r="AA149" s="6"/>
      <c r="AB149" s="4"/>
      <c r="AC149" s="4"/>
      <c r="AD149" s="4"/>
    </row>
    <row r="150" spans="1:30" ht="15.75" customHeight="1" x14ac:dyDescent="0.2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6"/>
      <c r="AA150" s="6"/>
      <c r="AB150" s="4"/>
      <c r="AC150" s="4"/>
      <c r="AD150" s="4"/>
    </row>
    <row r="151" spans="1:30" ht="15.75" customHeight="1" x14ac:dyDescent="0.2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6"/>
      <c r="AA151" s="6"/>
      <c r="AB151" s="4"/>
      <c r="AC151" s="4"/>
      <c r="AD151" s="4"/>
    </row>
    <row r="152" spans="1:30" ht="15.75" customHeight="1" x14ac:dyDescent="0.2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6"/>
      <c r="AA152" s="6"/>
      <c r="AB152" s="4"/>
      <c r="AC152" s="4"/>
      <c r="AD152" s="4"/>
    </row>
    <row r="153" spans="1:30" ht="15.75" customHeight="1" x14ac:dyDescent="0.2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6"/>
      <c r="AA153" s="6"/>
      <c r="AB153" s="4"/>
      <c r="AC153" s="4"/>
      <c r="AD153" s="4"/>
    </row>
    <row r="154" spans="1:30" ht="15.75" customHeight="1" x14ac:dyDescent="0.2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6"/>
      <c r="AA154" s="6"/>
      <c r="AB154" s="4"/>
      <c r="AC154" s="4"/>
      <c r="AD154" s="4"/>
    </row>
    <row r="155" spans="1:30" ht="15.75" customHeight="1" x14ac:dyDescent="0.2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6"/>
      <c r="AA155" s="6"/>
      <c r="AB155" s="4"/>
      <c r="AC155" s="4"/>
      <c r="AD155" s="4"/>
    </row>
    <row r="156" spans="1:30" ht="15.75" customHeight="1" x14ac:dyDescent="0.2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6"/>
      <c r="AA156" s="6"/>
      <c r="AB156" s="4"/>
      <c r="AC156" s="4"/>
      <c r="AD156" s="4"/>
    </row>
    <row r="157" spans="1:30" ht="15.75" customHeight="1" x14ac:dyDescent="0.2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6"/>
      <c r="AA157" s="6"/>
      <c r="AB157" s="4"/>
      <c r="AC157" s="4"/>
      <c r="AD157" s="4"/>
    </row>
    <row r="158" spans="1:30" ht="15.75" customHeight="1" x14ac:dyDescent="0.2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6"/>
      <c r="AA158" s="6"/>
      <c r="AB158" s="4"/>
      <c r="AC158" s="4"/>
      <c r="AD158" s="4"/>
    </row>
    <row r="159" spans="1:30" ht="15.75" customHeight="1" x14ac:dyDescent="0.2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6"/>
      <c r="AA159" s="6"/>
      <c r="AB159" s="4"/>
      <c r="AC159" s="4"/>
      <c r="AD159" s="4"/>
    </row>
    <row r="160" spans="1:30" ht="15.75" customHeight="1" x14ac:dyDescent="0.2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6"/>
      <c r="AA160" s="6"/>
      <c r="AB160" s="4"/>
      <c r="AC160" s="4"/>
      <c r="AD160" s="4"/>
    </row>
    <row r="161" spans="1:30" ht="15.75" customHeight="1" x14ac:dyDescent="0.2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6"/>
      <c r="AA161" s="6"/>
      <c r="AB161" s="4"/>
      <c r="AC161" s="4"/>
      <c r="AD161" s="4"/>
    </row>
    <row r="162" spans="1:30" ht="15.75" customHeight="1" x14ac:dyDescent="0.2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6"/>
      <c r="AA162" s="6"/>
      <c r="AB162" s="4"/>
      <c r="AC162" s="4"/>
      <c r="AD162" s="4"/>
    </row>
    <row r="163" spans="1:30" ht="15.75" customHeight="1" x14ac:dyDescent="0.2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6"/>
      <c r="AA163" s="6"/>
      <c r="AB163" s="4"/>
      <c r="AC163" s="4"/>
      <c r="AD163" s="4"/>
    </row>
    <row r="164" spans="1:30" ht="15.75" customHeight="1" x14ac:dyDescent="0.2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6"/>
      <c r="AA164" s="6"/>
      <c r="AB164" s="4"/>
      <c r="AC164" s="4"/>
      <c r="AD164" s="4"/>
    </row>
    <row r="165" spans="1:30" ht="15.75" customHeight="1" x14ac:dyDescent="0.2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6"/>
      <c r="AA165" s="6"/>
      <c r="AB165" s="4"/>
      <c r="AC165" s="4"/>
      <c r="AD165" s="4"/>
    </row>
    <row r="166" spans="1:30" ht="15.75" customHeight="1" x14ac:dyDescent="0.2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6"/>
      <c r="AA166" s="6"/>
      <c r="AB166" s="4"/>
      <c r="AC166" s="4"/>
      <c r="AD166" s="4"/>
    </row>
    <row r="167" spans="1:30" ht="15.75" customHeight="1" x14ac:dyDescent="0.2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6"/>
      <c r="AA167" s="6"/>
      <c r="AB167" s="4"/>
      <c r="AC167" s="4"/>
      <c r="AD167" s="4"/>
    </row>
    <row r="168" spans="1:30" ht="15.75" customHeight="1" x14ac:dyDescent="0.2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6"/>
      <c r="AA168" s="6"/>
      <c r="AB168" s="4"/>
      <c r="AC168" s="4"/>
      <c r="AD168" s="4"/>
    </row>
    <row r="169" spans="1:30" ht="15.75" customHeight="1" x14ac:dyDescent="0.2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6"/>
      <c r="AA169" s="6"/>
      <c r="AB169" s="4"/>
      <c r="AC169" s="4"/>
      <c r="AD169" s="4"/>
    </row>
    <row r="170" spans="1:30" ht="15.75" customHeight="1" x14ac:dyDescent="0.2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6"/>
      <c r="AA170" s="6"/>
      <c r="AB170" s="4"/>
      <c r="AC170" s="4"/>
      <c r="AD170" s="4"/>
    </row>
    <row r="171" spans="1:30" ht="15.75" customHeight="1" x14ac:dyDescent="0.2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6"/>
      <c r="AA171" s="6"/>
      <c r="AB171" s="4"/>
      <c r="AC171" s="4"/>
      <c r="AD171" s="4"/>
    </row>
    <row r="172" spans="1:30" ht="15.75" customHeight="1" x14ac:dyDescent="0.2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6"/>
      <c r="AA172" s="6"/>
      <c r="AB172" s="4"/>
      <c r="AC172" s="4"/>
      <c r="AD172" s="4"/>
    </row>
    <row r="173" spans="1:30" ht="15.75" customHeight="1" x14ac:dyDescent="0.2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6"/>
      <c r="AA173" s="6"/>
      <c r="AB173" s="4"/>
      <c r="AC173" s="4"/>
      <c r="AD173" s="4"/>
    </row>
    <row r="174" spans="1:30" ht="15.75" customHeight="1" x14ac:dyDescent="0.2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6"/>
      <c r="AA174" s="6"/>
      <c r="AB174" s="4"/>
      <c r="AC174" s="4"/>
      <c r="AD174" s="4"/>
    </row>
    <row r="175" spans="1:30" ht="15.75" customHeight="1" x14ac:dyDescent="0.2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6"/>
      <c r="AA175" s="6"/>
      <c r="AB175" s="4"/>
      <c r="AC175" s="4"/>
      <c r="AD175" s="4"/>
    </row>
    <row r="176" spans="1:30" ht="15.75" customHeight="1" x14ac:dyDescent="0.2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6"/>
      <c r="AA176" s="6"/>
      <c r="AB176" s="4"/>
      <c r="AC176" s="4"/>
      <c r="AD176" s="4"/>
    </row>
    <row r="177" spans="1:30" ht="15.75" customHeight="1" x14ac:dyDescent="0.2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6"/>
      <c r="AA177" s="6"/>
      <c r="AB177" s="4"/>
      <c r="AC177" s="4"/>
      <c r="AD177" s="4"/>
    </row>
    <row r="178" spans="1:30" ht="15.75" customHeight="1" x14ac:dyDescent="0.2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6"/>
      <c r="AA178" s="6"/>
      <c r="AB178" s="4"/>
      <c r="AC178" s="4"/>
      <c r="AD178" s="4"/>
    </row>
    <row r="179" spans="1:30" ht="15.75" customHeight="1" x14ac:dyDescent="0.2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6"/>
      <c r="AA179" s="6"/>
      <c r="AB179" s="4"/>
      <c r="AC179" s="4"/>
      <c r="AD179" s="4"/>
    </row>
    <row r="180" spans="1:30" ht="15.75" customHeight="1" x14ac:dyDescent="0.2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6"/>
      <c r="AA180" s="6"/>
      <c r="AB180" s="4"/>
      <c r="AC180" s="4"/>
      <c r="AD180" s="4"/>
    </row>
    <row r="181" spans="1:30" ht="15.75" customHeight="1" x14ac:dyDescent="0.2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6"/>
      <c r="AA181" s="6"/>
      <c r="AB181" s="4"/>
      <c r="AC181" s="4"/>
      <c r="AD181" s="4"/>
    </row>
    <row r="182" spans="1:30" ht="15.75" customHeight="1" x14ac:dyDescent="0.2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6"/>
      <c r="AA182" s="6"/>
      <c r="AB182" s="4"/>
      <c r="AC182" s="4"/>
      <c r="AD182" s="4"/>
    </row>
    <row r="183" spans="1:30" ht="15.75" customHeight="1" x14ac:dyDescent="0.2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6"/>
      <c r="AA183" s="6"/>
      <c r="AB183" s="4"/>
      <c r="AC183" s="4"/>
      <c r="AD183" s="4"/>
    </row>
    <row r="184" spans="1:30" ht="15.75" customHeight="1" x14ac:dyDescent="0.2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6"/>
      <c r="AA184" s="6"/>
      <c r="AB184" s="4"/>
      <c r="AC184" s="4"/>
      <c r="AD184" s="4"/>
    </row>
    <row r="185" spans="1:30" ht="15.75" customHeight="1" x14ac:dyDescent="0.2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6"/>
      <c r="AA185" s="6"/>
      <c r="AB185" s="4"/>
      <c r="AC185" s="4"/>
      <c r="AD185" s="4"/>
    </row>
    <row r="186" spans="1:30" ht="15.75" customHeight="1" x14ac:dyDescent="0.2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6"/>
      <c r="AA186" s="6"/>
      <c r="AB186" s="4"/>
      <c r="AC186" s="4"/>
      <c r="AD186" s="4"/>
    </row>
    <row r="187" spans="1:30" ht="15.75" customHeight="1" x14ac:dyDescent="0.2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6"/>
      <c r="AA187" s="6"/>
      <c r="AB187" s="4"/>
      <c r="AC187" s="4"/>
      <c r="AD187" s="4"/>
    </row>
    <row r="188" spans="1:30" ht="15.75" customHeight="1" x14ac:dyDescent="0.2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6"/>
      <c r="AA188" s="6"/>
      <c r="AB188" s="4"/>
      <c r="AC188" s="4"/>
      <c r="AD188" s="4"/>
    </row>
    <row r="189" spans="1:30" ht="15.75" customHeight="1" x14ac:dyDescent="0.2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6"/>
      <c r="AA189" s="6"/>
      <c r="AB189" s="4"/>
      <c r="AC189" s="4"/>
      <c r="AD189" s="4"/>
    </row>
    <row r="190" spans="1:30" ht="15.75" customHeight="1" x14ac:dyDescent="0.2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6"/>
      <c r="AA190" s="6"/>
      <c r="AB190" s="4"/>
      <c r="AC190" s="4"/>
      <c r="AD190" s="4"/>
    </row>
    <row r="191" spans="1:30" ht="15.75" customHeight="1" x14ac:dyDescent="0.2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6"/>
      <c r="AA191" s="6"/>
      <c r="AB191" s="4"/>
      <c r="AC191" s="4"/>
      <c r="AD191" s="4"/>
    </row>
    <row r="192" spans="1:30" ht="15.75" customHeight="1" x14ac:dyDescent="0.2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6"/>
      <c r="AA192" s="6"/>
      <c r="AB192" s="4"/>
      <c r="AC192" s="4"/>
      <c r="AD192" s="4"/>
    </row>
    <row r="193" spans="1:30" ht="15.75" customHeight="1" x14ac:dyDescent="0.2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6"/>
      <c r="AA193" s="6"/>
      <c r="AB193" s="4"/>
      <c r="AC193" s="4"/>
      <c r="AD193" s="4"/>
    </row>
    <row r="194" spans="1:30" ht="15.75" customHeight="1" x14ac:dyDescent="0.2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6"/>
      <c r="AA194" s="6"/>
      <c r="AB194" s="4"/>
      <c r="AC194" s="4"/>
      <c r="AD194" s="4"/>
    </row>
    <row r="195" spans="1:30" ht="15.75" customHeight="1" x14ac:dyDescent="0.2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6"/>
      <c r="AA195" s="6"/>
      <c r="AB195" s="4"/>
      <c r="AC195" s="4"/>
      <c r="AD195" s="4"/>
    </row>
    <row r="196" spans="1:30" ht="15.75" customHeight="1" x14ac:dyDescent="0.2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6"/>
      <c r="AA196" s="6"/>
      <c r="AB196" s="4"/>
      <c r="AC196" s="4"/>
      <c r="AD196" s="4"/>
    </row>
    <row r="197" spans="1:30" ht="15.75" customHeight="1" x14ac:dyDescent="0.2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6"/>
      <c r="AA197" s="6"/>
      <c r="AB197" s="4"/>
      <c r="AC197" s="4"/>
      <c r="AD197" s="4"/>
    </row>
    <row r="198" spans="1:30" ht="15.75" customHeight="1" x14ac:dyDescent="0.2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6"/>
      <c r="AA198" s="6"/>
      <c r="AB198" s="4"/>
      <c r="AC198" s="4"/>
      <c r="AD198" s="4"/>
    </row>
    <row r="199" spans="1:30" ht="15.75" customHeight="1" x14ac:dyDescent="0.2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6"/>
      <c r="AA199" s="6"/>
      <c r="AB199" s="4"/>
      <c r="AC199" s="4"/>
      <c r="AD199" s="4"/>
    </row>
    <row r="200" spans="1:30" ht="15.75" customHeight="1" x14ac:dyDescent="0.2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6"/>
      <c r="AA200" s="6"/>
      <c r="AB200" s="4"/>
      <c r="AC200" s="4"/>
      <c r="AD200" s="4"/>
    </row>
    <row r="201" spans="1:30" ht="15.75" customHeight="1" x14ac:dyDescent="0.2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6"/>
      <c r="AA201" s="6"/>
      <c r="AB201" s="4"/>
      <c r="AC201" s="4"/>
      <c r="AD201" s="4"/>
    </row>
    <row r="202" spans="1:30" ht="15.75" customHeight="1" x14ac:dyDescent="0.2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6"/>
      <c r="AA202" s="6"/>
      <c r="AB202" s="4"/>
      <c r="AC202" s="4"/>
      <c r="AD202" s="4"/>
    </row>
    <row r="203" spans="1:30" ht="15.75" customHeight="1" x14ac:dyDescent="0.2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6"/>
      <c r="AA203" s="6"/>
      <c r="AB203" s="4"/>
      <c r="AC203" s="4"/>
      <c r="AD203" s="4"/>
    </row>
    <row r="204" spans="1:30" ht="15.75" customHeight="1" x14ac:dyDescent="0.2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6"/>
      <c r="AA204" s="6"/>
      <c r="AB204" s="4"/>
      <c r="AC204" s="4"/>
      <c r="AD204" s="4"/>
    </row>
    <row r="205" spans="1:30" ht="15.75" customHeight="1" x14ac:dyDescent="0.2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6"/>
      <c r="AA205" s="6"/>
      <c r="AB205" s="4"/>
      <c r="AC205" s="4"/>
      <c r="AD205" s="4"/>
    </row>
    <row r="206" spans="1:30" ht="15.75" customHeight="1" x14ac:dyDescent="0.2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6"/>
      <c r="AA206" s="6"/>
      <c r="AB206" s="4"/>
      <c r="AC206" s="4"/>
      <c r="AD206" s="4"/>
    </row>
    <row r="207" spans="1:30" ht="15.75" customHeight="1" x14ac:dyDescent="0.2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6"/>
      <c r="AA207" s="6"/>
      <c r="AB207" s="4"/>
      <c r="AC207" s="4"/>
      <c r="AD207" s="4"/>
    </row>
    <row r="208" spans="1:30" ht="15.75" customHeight="1" x14ac:dyDescent="0.2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6"/>
      <c r="AA208" s="6"/>
      <c r="AB208" s="4"/>
      <c r="AC208" s="4"/>
      <c r="AD208" s="4"/>
    </row>
    <row r="209" spans="1:30" ht="15.75" customHeight="1" x14ac:dyDescent="0.2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6"/>
      <c r="AA209" s="6"/>
      <c r="AB209" s="4"/>
      <c r="AC209" s="4"/>
      <c r="AD209" s="4"/>
    </row>
    <row r="210" spans="1:30" ht="15.75" customHeight="1" x14ac:dyDescent="0.2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6"/>
      <c r="AA210" s="6"/>
      <c r="AB210" s="4"/>
      <c r="AC210" s="4"/>
      <c r="AD210" s="4"/>
    </row>
    <row r="211" spans="1:30" ht="15.75" customHeight="1" x14ac:dyDescent="0.2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6"/>
      <c r="AA211" s="6"/>
      <c r="AB211" s="4"/>
      <c r="AC211" s="4"/>
      <c r="AD211" s="4"/>
    </row>
    <row r="212" spans="1:30" ht="15.75" customHeight="1" x14ac:dyDescent="0.2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6"/>
      <c r="AA212" s="6"/>
      <c r="AB212" s="4"/>
      <c r="AC212" s="4"/>
      <c r="AD212" s="4"/>
    </row>
    <row r="213" spans="1:30" ht="15.75" customHeight="1" x14ac:dyDescent="0.2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6"/>
      <c r="AA213" s="6"/>
      <c r="AB213" s="4"/>
      <c r="AC213" s="4"/>
      <c r="AD213" s="4"/>
    </row>
    <row r="214" spans="1:30" ht="15.75" customHeight="1" x14ac:dyDescent="0.2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6"/>
      <c r="AA214" s="6"/>
      <c r="AB214" s="4"/>
      <c r="AC214" s="4"/>
      <c r="AD214" s="4"/>
    </row>
    <row r="215" spans="1:30" ht="15.75" customHeight="1" x14ac:dyDescent="0.2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6"/>
      <c r="AA215" s="6"/>
      <c r="AB215" s="4"/>
      <c r="AC215" s="4"/>
      <c r="AD215" s="4"/>
    </row>
    <row r="216" spans="1:30" ht="15.75" customHeight="1" x14ac:dyDescent="0.2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6"/>
      <c r="AA216" s="6"/>
      <c r="AB216" s="4"/>
      <c r="AC216" s="4"/>
      <c r="AD216" s="4"/>
    </row>
    <row r="217" spans="1:30" ht="15.75" customHeight="1" x14ac:dyDescent="0.2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6"/>
      <c r="AA217" s="6"/>
      <c r="AB217" s="4"/>
      <c r="AC217" s="4"/>
      <c r="AD217" s="4"/>
    </row>
    <row r="218" spans="1:30" ht="15.75" customHeight="1" x14ac:dyDescent="0.2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6"/>
      <c r="AA218" s="6"/>
      <c r="AB218" s="4"/>
      <c r="AC218" s="4"/>
      <c r="AD218" s="4"/>
    </row>
    <row r="219" spans="1:30" ht="15.75" customHeight="1" x14ac:dyDescent="0.2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6"/>
      <c r="AA219" s="6"/>
      <c r="AB219" s="4"/>
      <c r="AC219" s="4"/>
      <c r="AD219" s="4"/>
    </row>
    <row r="220" spans="1:30" ht="15.75" customHeight="1" x14ac:dyDescent="0.2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6"/>
      <c r="AA220" s="6"/>
      <c r="AB220" s="4"/>
      <c r="AC220" s="4"/>
      <c r="AD220" s="4"/>
    </row>
    <row r="221" spans="1:30" ht="15.75" customHeight="1" x14ac:dyDescent="0.2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6"/>
      <c r="AA221" s="6"/>
      <c r="AB221" s="4"/>
      <c r="AC221" s="4"/>
      <c r="AD221" s="4"/>
    </row>
    <row r="222" spans="1:30" ht="15.75" customHeight="1" x14ac:dyDescent="0.2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6"/>
      <c r="AA222" s="6"/>
      <c r="AB222" s="4"/>
      <c r="AC222" s="4"/>
      <c r="AD222" s="4"/>
    </row>
    <row r="223" spans="1:30" ht="15.75" customHeight="1" x14ac:dyDescent="0.2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6"/>
      <c r="AA223" s="6"/>
      <c r="AB223" s="4"/>
      <c r="AC223" s="4"/>
      <c r="AD223" s="4"/>
    </row>
    <row r="224" spans="1:30" ht="15.75" customHeight="1" x14ac:dyDescent="0.2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6"/>
      <c r="AA224" s="6"/>
      <c r="AB224" s="4"/>
      <c r="AC224" s="4"/>
      <c r="AD224" s="4"/>
    </row>
    <row r="225" spans="1:30" ht="15.75" customHeight="1" x14ac:dyDescent="0.2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6"/>
      <c r="AA225" s="6"/>
      <c r="AB225" s="4"/>
      <c r="AC225" s="4"/>
      <c r="AD225" s="4"/>
    </row>
    <row r="226" spans="1:30" ht="15.75" customHeight="1" x14ac:dyDescent="0.2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6"/>
      <c r="AA226" s="6"/>
      <c r="AB226" s="4"/>
      <c r="AC226" s="4"/>
      <c r="AD226" s="4"/>
    </row>
    <row r="227" spans="1:30" ht="15.75" customHeight="1" x14ac:dyDescent="0.2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6"/>
      <c r="AA227" s="6"/>
      <c r="AB227" s="4"/>
      <c r="AC227" s="4"/>
      <c r="AD227" s="4"/>
    </row>
    <row r="228" spans="1:30" ht="15.75" customHeight="1" x14ac:dyDescent="0.2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6"/>
      <c r="AA228" s="6"/>
      <c r="AB228" s="4"/>
      <c r="AC228" s="4"/>
      <c r="AD228" s="4"/>
    </row>
    <row r="229" spans="1:30" ht="15.75" customHeight="1" x14ac:dyDescent="0.2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6"/>
      <c r="AA229" s="6"/>
      <c r="AB229" s="4"/>
      <c r="AC229" s="4"/>
      <c r="AD229" s="4"/>
    </row>
    <row r="230" spans="1:30" ht="15.75" customHeight="1" x14ac:dyDescent="0.2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6"/>
      <c r="AA230" s="6"/>
      <c r="AB230" s="4"/>
      <c r="AC230" s="4"/>
      <c r="AD230" s="4"/>
    </row>
    <row r="231" spans="1:30" ht="15.75" customHeight="1" x14ac:dyDescent="0.2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6"/>
      <c r="AA231" s="6"/>
      <c r="AB231" s="4"/>
      <c r="AC231" s="4"/>
      <c r="AD231" s="4"/>
    </row>
    <row r="232" spans="1:30" ht="15.75" customHeight="1" x14ac:dyDescent="0.2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6"/>
      <c r="AA232" s="6"/>
      <c r="AB232" s="4"/>
      <c r="AC232" s="4"/>
      <c r="AD232" s="4"/>
    </row>
    <row r="233" spans="1:30" ht="15.75" customHeight="1" x14ac:dyDescent="0.2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6"/>
      <c r="AA233" s="6"/>
      <c r="AB233" s="4"/>
      <c r="AC233" s="4"/>
      <c r="AD233" s="4"/>
    </row>
    <row r="234" spans="1:30" ht="15.75" customHeight="1" x14ac:dyDescent="0.2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6"/>
      <c r="AA234" s="6"/>
      <c r="AB234" s="4"/>
      <c r="AC234" s="4"/>
      <c r="AD234" s="4"/>
    </row>
    <row r="235" spans="1:30" ht="15.75" customHeight="1" x14ac:dyDescent="0.2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6"/>
      <c r="AA235" s="6"/>
      <c r="AB235" s="4"/>
      <c r="AC235" s="4"/>
      <c r="AD235" s="4"/>
    </row>
    <row r="236" spans="1:30" ht="15.75" customHeight="1" x14ac:dyDescent="0.2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6"/>
      <c r="AA236" s="6"/>
      <c r="AB236" s="4"/>
      <c r="AC236" s="4"/>
      <c r="AD236" s="4"/>
    </row>
    <row r="237" spans="1:30" ht="15.75" customHeight="1" x14ac:dyDescent="0.2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6"/>
      <c r="AA237" s="6"/>
      <c r="AB237" s="4"/>
      <c r="AC237" s="4"/>
      <c r="AD237" s="4"/>
    </row>
    <row r="238" spans="1:30" ht="15.75" customHeight="1" x14ac:dyDescent="0.2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6"/>
      <c r="AA238" s="6"/>
      <c r="AB238" s="4"/>
      <c r="AC238" s="4"/>
      <c r="AD238" s="4"/>
    </row>
    <row r="239" spans="1:30" ht="15.75" customHeight="1" x14ac:dyDescent="0.2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6"/>
      <c r="AA239" s="6"/>
      <c r="AB239" s="4"/>
      <c r="AC239" s="4"/>
      <c r="AD239" s="4"/>
    </row>
    <row r="240" spans="1:30" ht="15.75" customHeight="1" x14ac:dyDescent="0.2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6"/>
      <c r="AA240" s="6"/>
      <c r="AB240" s="4"/>
      <c r="AC240" s="4"/>
      <c r="AD240" s="4"/>
    </row>
    <row r="241" spans="1:30" ht="15.75" customHeight="1" x14ac:dyDescent="0.2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6"/>
      <c r="AA241" s="6"/>
      <c r="AB241" s="4"/>
      <c r="AC241" s="4"/>
      <c r="AD241" s="4"/>
    </row>
    <row r="242" spans="1:30" ht="15.75" customHeight="1" x14ac:dyDescent="0.2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6"/>
      <c r="AA242" s="6"/>
      <c r="AB242" s="4"/>
      <c r="AC242" s="4"/>
      <c r="AD242" s="4"/>
    </row>
    <row r="243" spans="1:30" ht="15.75" customHeight="1" x14ac:dyDescent="0.2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6"/>
      <c r="AA243" s="6"/>
      <c r="AB243" s="4"/>
      <c r="AC243" s="4"/>
      <c r="AD243" s="4"/>
    </row>
    <row r="244" spans="1:30" ht="15.75" customHeight="1" x14ac:dyDescent="0.2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6"/>
      <c r="AA244" s="6"/>
      <c r="AB244" s="4"/>
      <c r="AC244" s="4"/>
      <c r="AD244" s="4"/>
    </row>
    <row r="245" spans="1:30" ht="15.75" customHeight="1" x14ac:dyDescent="0.2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6"/>
      <c r="AA245" s="6"/>
      <c r="AB245" s="4"/>
      <c r="AC245" s="4"/>
      <c r="AD245" s="4"/>
    </row>
    <row r="246" spans="1:30" ht="15.75" customHeight="1" x14ac:dyDescent="0.2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6"/>
      <c r="AA246" s="6"/>
      <c r="AB246" s="4"/>
      <c r="AC246" s="4"/>
      <c r="AD246" s="4"/>
    </row>
    <row r="247" spans="1:30" ht="15.75" customHeight="1" x14ac:dyDescent="0.2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6"/>
      <c r="AA247" s="6"/>
      <c r="AB247" s="4"/>
      <c r="AC247" s="4"/>
      <c r="AD247" s="4"/>
    </row>
    <row r="248" spans="1:30" ht="15.75" customHeight="1" x14ac:dyDescent="0.2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6"/>
      <c r="AA248" s="6"/>
      <c r="AB248" s="4"/>
      <c r="AC248" s="4"/>
      <c r="AD248" s="4"/>
    </row>
    <row r="249" spans="1:30" ht="15.75" customHeight="1" x14ac:dyDescent="0.2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6"/>
      <c r="AA249" s="6"/>
      <c r="AB249" s="4"/>
      <c r="AC249" s="4"/>
      <c r="AD249" s="4"/>
    </row>
    <row r="250" spans="1:30" ht="15.75" customHeight="1" x14ac:dyDescent="0.2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6"/>
      <c r="AA250" s="6"/>
      <c r="AB250" s="4"/>
      <c r="AC250" s="4"/>
      <c r="AD250" s="4"/>
    </row>
    <row r="251" spans="1:30" ht="15.75" customHeight="1" x14ac:dyDescent="0.2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6"/>
      <c r="AA251" s="6"/>
      <c r="AB251" s="4"/>
      <c r="AC251" s="4"/>
      <c r="AD251" s="4"/>
    </row>
    <row r="252" spans="1:30" ht="15.75" customHeight="1" x14ac:dyDescent="0.2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6"/>
      <c r="AA252" s="6"/>
      <c r="AB252" s="4"/>
      <c r="AC252" s="4"/>
      <c r="AD252" s="4"/>
    </row>
    <row r="253" spans="1:30" ht="15.75" customHeight="1" x14ac:dyDescent="0.2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6"/>
      <c r="AA253" s="6"/>
      <c r="AB253" s="4"/>
      <c r="AC253" s="4"/>
      <c r="AD253" s="4"/>
    </row>
    <row r="254" spans="1:30" ht="15.75" customHeight="1" x14ac:dyDescent="0.2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6"/>
      <c r="AA254" s="6"/>
      <c r="AB254" s="4"/>
      <c r="AC254" s="4"/>
      <c r="AD254" s="4"/>
    </row>
    <row r="255" spans="1:30" ht="15.75" customHeight="1" x14ac:dyDescent="0.2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6"/>
      <c r="AA255" s="6"/>
      <c r="AB255" s="4"/>
      <c r="AC255" s="4"/>
      <c r="AD255" s="4"/>
    </row>
    <row r="256" spans="1:30" ht="15.75" customHeight="1" x14ac:dyDescent="0.2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6"/>
      <c r="AA256" s="6"/>
      <c r="AB256" s="4"/>
      <c r="AC256" s="4"/>
      <c r="AD256" s="4"/>
    </row>
    <row r="257" spans="1:30" ht="15.75" customHeight="1" x14ac:dyDescent="0.2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6"/>
      <c r="AA257" s="6"/>
      <c r="AB257" s="4"/>
      <c r="AC257" s="4"/>
      <c r="AD257" s="4"/>
    </row>
    <row r="258" spans="1:30" ht="15.75" customHeight="1" x14ac:dyDescent="0.2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6"/>
      <c r="AA258" s="6"/>
      <c r="AB258" s="4"/>
      <c r="AC258" s="4"/>
      <c r="AD258" s="4"/>
    </row>
    <row r="259" spans="1:30" ht="15.75" customHeight="1" x14ac:dyDescent="0.2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6"/>
      <c r="AA259" s="6"/>
      <c r="AB259" s="4"/>
      <c r="AC259" s="4"/>
      <c r="AD259" s="4"/>
    </row>
    <row r="260" spans="1:30" ht="15.75" customHeight="1" x14ac:dyDescent="0.2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6"/>
      <c r="AA260" s="6"/>
      <c r="AB260" s="4"/>
      <c r="AC260" s="4"/>
      <c r="AD260" s="4"/>
    </row>
    <row r="261" spans="1:30" ht="15.75" customHeight="1" x14ac:dyDescent="0.2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6"/>
      <c r="AA261" s="6"/>
      <c r="AB261" s="4"/>
      <c r="AC261" s="4"/>
      <c r="AD261" s="4"/>
    </row>
    <row r="262" spans="1:30" ht="15.75" customHeight="1" x14ac:dyDescent="0.2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6"/>
      <c r="AA262" s="6"/>
      <c r="AB262" s="4"/>
      <c r="AC262" s="4"/>
      <c r="AD262" s="4"/>
    </row>
    <row r="263" spans="1:30" ht="15.75" customHeight="1" x14ac:dyDescent="0.2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6"/>
      <c r="AA263" s="6"/>
      <c r="AB263" s="4"/>
      <c r="AC263" s="4"/>
      <c r="AD263" s="4"/>
    </row>
    <row r="264" spans="1:30" ht="15.75" customHeight="1" x14ac:dyDescent="0.2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6"/>
      <c r="AA264" s="6"/>
      <c r="AB264" s="4"/>
      <c r="AC264" s="4"/>
      <c r="AD264" s="4"/>
    </row>
    <row r="265" spans="1:30" ht="15.75" customHeight="1" x14ac:dyDescent="0.2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6"/>
      <c r="AA265" s="6"/>
      <c r="AB265" s="4"/>
      <c r="AC265" s="4"/>
      <c r="AD265" s="4"/>
    </row>
    <row r="266" spans="1:30" ht="15.75" customHeight="1" x14ac:dyDescent="0.2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6"/>
      <c r="AA266" s="6"/>
      <c r="AB266" s="4"/>
      <c r="AC266" s="4"/>
      <c r="AD266" s="4"/>
    </row>
    <row r="267" spans="1:30" ht="15.75" customHeight="1" x14ac:dyDescent="0.2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6"/>
      <c r="AA267" s="6"/>
      <c r="AB267" s="4"/>
      <c r="AC267" s="4"/>
      <c r="AD267" s="4"/>
    </row>
    <row r="268" spans="1:30" ht="15.75" customHeight="1" x14ac:dyDescent="0.2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6"/>
      <c r="AA268" s="6"/>
      <c r="AB268" s="4"/>
      <c r="AC268" s="4"/>
      <c r="AD268" s="4"/>
    </row>
    <row r="269" spans="1:30" ht="15.75" customHeight="1" x14ac:dyDescent="0.2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6"/>
      <c r="AA269" s="6"/>
      <c r="AB269" s="4"/>
      <c r="AC269" s="4"/>
      <c r="AD269" s="4"/>
    </row>
    <row r="270" spans="1:30" ht="15.75" customHeight="1" x14ac:dyDescent="0.2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6"/>
      <c r="AA270" s="6"/>
      <c r="AB270" s="4"/>
      <c r="AC270" s="4"/>
      <c r="AD270" s="4"/>
    </row>
    <row r="271" spans="1:30" ht="15.75" customHeight="1" x14ac:dyDescent="0.2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6"/>
      <c r="AA271" s="6"/>
      <c r="AB271" s="4"/>
      <c r="AC271" s="4"/>
      <c r="AD271" s="4"/>
    </row>
    <row r="272" spans="1:30" ht="15.75" customHeight="1" x14ac:dyDescent="0.2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6"/>
      <c r="AA272" s="6"/>
      <c r="AB272" s="4"/>
      <c r="AC272" s="4"/>
      <c r="AD272" s="4"/>
    </row>
    <row r="273" spans="1:30" ht="15.75" customHeight="1" x14ac:dyDescent="0.2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6"/>
      <c r="AA273" s="6"/>
      <c r="AB273" s="4"/>
      <c r="AC273" s="4"/>
      <c r="AD273" s="4"/>
    </row>
    <row r="274" spans="1:30" ht="15.75" customHeight="1" x14ac:dyDescent="0.2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6"/>
      <c r="AA274" s="6"/>
      <c r="AB274" s="4"/>
      <c r="AC274" s="4"/>
      <c r="AD274" s="4"/>
    </row>
    <row r="275" spans="1:30" ht="15.75" customHeight="1" x14ac:dyDescent="0.2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6"/>
      <c r="AA275" s="6"/>
      <c r="AB275" s="4"/>
      <c r="AC275" s="4"/>
      <c r="AD275" s="4"/>
    </row>
    <row r="276" spans="1:30" ht="15.75" customHeight="1" x14ac:dyDescent="0.2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6"/>
      <c r="AA276" s="6"/>
      <c r="AB276" s="4"/>
      <c r="AC276" s="4"/>
      <c r="AD276" s="4"/>
    </row>
    <row r="277" spans="1:30" ht="15.75" customHeight="1" x14ac:dyDescent="0.2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6"/>
      <c r="AA277" s="6"/>
      <c r="AB277" s="4"/>
      <c r="AC277" s="4"/>
      <c r="AD277" s="4"/>
    </row>
    <row r="278" spans="1:30" ht="15.75" customHeight="1" x14ac:dyDescent="0.2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6"/>
      <c r="AA278" s="6"/>
      <c r="AB278" s="4"/>
      <c r="AC278" s="4"/>
      <c r="AD278" s="4"/>
    </row>
    <row r="279" spans="1:30" ht="15.75" customHeight="1" x14ac:dyDescent="0.2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6"/>
      <c r="AA279" s="6"/>
      <c r="AB279" s="4"/>
      <c r="AC279" s="4"/>
      <c r="AD279" s="4"/>
    </row>
    <row r="280" spans="1:30" ht="15.75" customHeight="1" x14ac:dyDescent="0.2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6"/>
      <c r="AA280" s="6"/>
      <c r="AB280" s="4"/>
      <c r="AC280" s="4"/>
      <c r="AD280" s="4"/>
    </row>
    <row r="281" spans="1:30" ht="15.75" customHeight="1" x14ac:dyDescent="0.2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6"/>
      <c r="AA281" s="6"/>
      <c r="AB281" s="4"/>
      <c r="AC281" s="4"/>
      <c r="AD281" s="4"/>
    </row>
    <row r="282" spans="1:30" ht="15.75" customHeight="1" x14ac:dyDescent="0.2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6"/>
      <c r="AA282" s="6"/>
      <c r="AB282" s="4"/>
      <c r="AC282" s="4"/>
      <c r="AD282" s="4"/>
    </row>
    <row r="283" spans="1:30" ht="15.75" customHeight="1" x14ac:dyDescent="0.2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6"/>
      <c r="AA283" s="6"/>
      <c r="AB283" s="4"/>
      <c r="AC283" s="4"/>
      <c r="AD283" s="4"/>
    </row>
    <row r="284" spans="1:30" ht="15.75" customHeight="1" x14ac:dyDescent="0.2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6"/>
      <c r="AA284" s="6"/>
      <c r="AB284" s="4"/>
      <c r="AC284" s="4"/>
      <c r="AD284" s="4"/>
    </row>
    <row r="285" spans="1:30" ht="15.75" customHeight="1" x14ac:dyDescent="0.2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6"/>
      <c r="AA285" s="6"/>
      <c r="AB285" s="4"/>
      <c r="AC285" s="4"/>
      <c r="AD285" s="4"/>
    </row>
    <row r="286" spans="1:30" ht="15.75" customHeight="1" x14ac:dyDescent="0.2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6"/>
      <c r="AA286" s="6"/>
      <c r="AB286" s="4"/>
      <c r="AC286" s="4"/>
      <c r="AD286" s="4"/>
    </row>
    <row r="287" spans="1:30" ht="15.75" customHeight="1" x14ac:dyDescent="0.2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6"/>
      <c r="AA287" s="6"/>
      <c r="AB287" s="4"/>
      <c r="AC287" s="4"/>
      <c r="AD287" s="4"/>
    </row>
    <row r="288" spans="1:30" ht="15.75" customHeight="1" x14ac:dyDescent="0.2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6"/>
      <c r="AA288" s="6"/>
      <c r="AB288" s="4"/>
      <c r="AC288" s="4"/>
      <c r="AD288" s="4"/>
    </row>
    <row r="289" spans="1:30" ht="15.75" customHeight="1" x14ac:dyDescent="0.2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6"/>
      <c r="AA289" s="6"/>
      <c r="AB289" s="4"/>
      <c r="AC289" s="4"/>
      <c r="AD289" s="4"/>
    </row>
    <row r="290" spans="1:30" ht="15.75" customHeight="1" x14ac:dyDescent="0.2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6"/>
      <c r="AA290" s="6"/>
      <c r="AB290" s="4"/>
      <c r="AC290" s="4"/>
      <c r="AD290" s="4"/>
    </row>
    <row r="291" spans="1:30" ht="15.75" customHeight="1" x14ac:dyDescent="0.2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6"/>
      <c r="AA291" s="6"/>
      <c r="AB291" s="4"/>
      <c r="AC291" s="4"/>
      <c r="AD291" s="4"/>
    </row>
    <row r="292" spans="1:30" ht="15.75" customHeight="1" x14ac:dyDescent="0.2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6"/>
      <c r="AA292" s="6"/>
      <c r="AB292" s="4"/>
      <c r="AC292" s="4"/>
      <c r="AD292" s="4"/>
    </row>
    <row r="293" spans="1:30" ht="15.75" customHeight="1" x14ac:dyDescent="0.2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6"/>
      <c r="AA293" s="6"/>
      <c r="AB293" s="4"/>
      <c r="AC293" s="4"/>
      <c r="AD293" s="4"/>
    </row>
    <row r="294" spans="1:30" ht="15.75" customHeight="1" x14ac:dyDescent="0.2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6"/>
      <c r="AA294" s="6"/>
      <c r="AB294" s="4"/>
      <c r="AC294" s="4"/>
      <c r="AD294" s="4"/>
    </row>
    <row r="295" spans="1:30" ht="15.75" customHeight="1" x14ac:dyDescent="0.2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6"/>
      <c r="AA295" s="6"/>
      <c r="AB295" s="4"/>
      <c r="AC295" s="4"/>
      <c r="AD295" s="4"/>
    </row>
    <row r="296" spans="1:30" ht="15.75" customHeight="1" x14ac:dyDescent="0.2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6"/>
      <c r="AA296" s="6"/>
      <c r="AB296" s="4"/>
      <c r="AC296" s="4"/>
      <c r="AD296" s="4"/>
    </row>
    <row r="297" spans="1:30" ht="15.75" customHeight="1" x14ac:dyDescent="0.2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6"/>
      <c r="AA297" s="6"/>
      <c r="AB297" s="4"/>
      <c r="AC297" s="4"/>
      <c r="AD297" s="4"/>
    </row>
    <row r="298" spans="1:30" ht="15.75" customHeight="1" x14ac:dyDescent="0.2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6"/>
      <c r="AA298" s="6"/>
      <c r="AB298" s="4"/>
      <c r="AC298" s="4"/>
      <c r="AD298" s="4"/>
    </row>
    <row r="299" spans="1:30" ht="15.75" customHeight="1" x14ac:dyDescent="0.2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6"/>
      <c r="AA299" s="6"/>
      <c r="AB299" s="4"/>
      <c r="AC299" s="4"/>
      <c r="AD299" s="4"/>
    </row>
    <row r="300" spans="1:30" ht="15.75" customHeight="1" x14ac:dyDescent="0.2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6"/>
      <c r="AA300" s="6"/>
      <c r="AB300" s="4"/>
      <c r="AC300" s="4"/>
      <c r="AD300" s="4"/>
    </row>
    <row r="301" spans="1:30" ht="15.75" customHeight="1" x14ac:dyDescent="0.2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6"/>
      <c r="AA301" s="6"/>
      <c r="AB301" s="4"/>
      <c r="AC301" s="4"/>
      <c r="AD301" s="4"/>
    </row>
    <row r="302" spans="1:30" ht="15.75" customHeight="1" x14ac:dyDescent="0.2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6"/>
      <c r="AA302" s="6"/>
      <c r="AB302" s="4"/>
      <c r="AC302" s="4"/>
      <c r="AD302" s="4"/>
    </row>
    <row r="303" spans="1:30" ht="15.75" customHeight="1" x14ac:dyDescent="0.2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6"/>
      <c r="AA303" s="6"/>
      <c r="AB303" s="4"/>
      <c r="AC303" s="4"/>
      <c r="AD303" s="4"/>
    </row>
    <row r="304" spans="1:30" ht="15.75" customHeight="1" x14ac:dyDescent="0.2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6"/>
      <c r="AA304" s="6"/>
      <c r="AB304" s="4"/>
      <c r="AC304" s="4"/>
      <c r="AD304" s="4"/>
    </row>
    <row r="305" spans="1:30" ht="15.75" customHeight="1" x14ac:dyDescent="0.2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6"/>
      <c r="AA305" s="6"/>
      <c r="AB305" s="4"/>
      <c r="AC305" s="4"/>
      <c r="AD305" s="4"/>
    </row>
    <row r="306" spans="1:30" ht="15.75" customHeight="1" x14ac:dyDescent="0.2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6"/>
      <c r="AA306" s="6"/>
      <c r="AB306" s="4"/>
      <c r="AC306" s="4"/>
      <c r="AD306" s="4"/>
    </row>
    <row r="307" spans="1:30" ht="15.75" customHeight="1" x14ac:dyDescent="0.2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6"/>
      <c r="AA307" s="6"/>
      <c r="AB307" s="4"/>
      <c r="AC307" s="4"/>
      <c r="AD307" s="4"/>
    </row>
    <row r="308" spans="1:30" ht="15.75" customHeight="1" x14ac:dyDescent="0.2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6"/>
      <c r="AA308" s="6"/>
      <c r="AB308" s="4"/>
      <c r="AC308" s="4"/>
      <c r="AD308" s="4"/>
    </row>
    <row r="309" spans="1:30" ht="15.75" customHeight="1" x14ac:dyDescent="0.2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6"/>
      <c r="AA309" s="6"/>
      <c r="AB309" s="4"/>
      <c r="AC309" s="4"/>
      <c r="AD309" s="4"/>
    </row>
    <row r="310" spans="1:30" ht="15.75" customHeight="1" x14ac:dyDescent="0.2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6"/>
      <c r="AA310" s="6"/>
      <c r="AB310" s="4"/>
      <c r="AC310" s="4"/>
      <c r="AD310" s="4"/>
    </row>
    <row r="311" spans="1:30" ht="15.75" customHeight="1" x14ac:dyDescent="0.2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6"/>
      <c r="AA311" s="6"/>
      <c r="AB311" s="4"/>
      <c r="AC311" s="4"/>
      <c r="AD311" s="4"/>
    </row>
    <row r="312" spans="1:30" ht="15.75" customHeight="1" x14ac:dyDescent="0.2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6"/>
      <c r="AA312" s="6"/>
      <c r="AB312" s="4"/>
      <c r="AC312" s="4"/>
      <c r="AD312" s="4"/>
    </row>
    <row r="313" spans="1:30" ht="15.75" customHeight="1" x14ac:dyDescent="0.2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6"/>
      <c r="AA313" s="6"/>
      <c r="AB313" s="4"/>
      <c r="AC313" s="4"/>
      <c r="AD313" s="4"/>
    </row>
    <row r="314" spans="1:30" ht="15.75" customHeight="1" x14ac:dyDescent="0.2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6"/>
      <c r="AA314" s="6"/>
      <c r="AB314" s="4"/>
      <c r="AC314" s="4"/>
      <c r="AD314" s="4"/>
    </row>
    <row r="315" spans="1:30" ht="15.75" customHeight="1" x14ac:dyDescent="0.2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6"/>
      <c r="AA315" s="6"/>
      <c r="AB315" s="4"/>
      <c r="AC315" s="4"/>
      <c r="AD315" s="4"/>
    </row>
    <row r="316" spans="1:30" ht="15.75" customHeight="1" x14ac:dyDescent="0.2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6"/>
      <c r="AA316" s="6"/>
      <c r="AB316" s="4"/>
      <c r="AC316" s="4"/>
      <c r="AD316" s="4"/>
    </row>
    <row r="317" spans="1:30" ht="15.75" customHeight="1" x14ac:dyDescent="0.2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6"/>
      <c r="AA317" s="6"/>
      <c r="AB317" s="4"/>
      <c r="AC317" s="4"/>
      <c r="AD317" s="4"/>
    </row>
    <row r="318" spans="1:30" ht="15.75" customHeight="1" x14ac:dyDescent="0.2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6"/>
      <c r="AA318" s="6"/>
      <c r="AB318" s="4"/>
      <c r="AC318" s="4"/>
      <c r="AD318" s="4"/>
    </row>
    <row r="319" spans="1:30" ht="15.75" customHeight="1" x14ac:dyDescent="0.2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6"/>
      <c r="AA319" s="6"/>
      <c r="AB319" s="4"/>
      <c r="AC319" s="4"/>
      <c r="AD319" s="4"/>
    </row>
    <row r="320" spans="1:30" ht="15.75" customHeight="1" x14ac:dyDescent="0.2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6"/>
      <c r="AA320" s="6"/>
      <c r="AB320" s="4"/>
      <c r="AC320" s="4"/>
      <c r="AD320" s="4"/>
    </row>
    <row r="321" spans="1:30" ht="15.75" customHeight="1" x14ac:dyDescent="0.2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6"/>
      <c r="AA321" s="6"/>
      <c r="AB321" s="4"/>
      <c r="AC321" s="4"/>
      <c r="AD321" s="4"/>
    </row>
    <row r="322" spans="1:30" ht="15.75" customHeight="1" x14ac:dyDescent="0.2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6"/>
      <c r="AA322" s="6"/>
      <c r="AB322" s="4"/>
      <c r="AC322" s="4"/>
      <c r="AD322" s="4"/>
    </row>
    <row r="323" spans="1:30" ht="15.75" customHeight="1" x14ac:dyDescent="0.2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6"/>
      <c r="AA323" s="6"/>
      <c r="AB323" s="4"/>
      <c r="AC323" s="4"/>
      <c r="AD323" s="4"/>
    </row>
    <row r="324" spans="1:30" ht="15.75" customHeight="1" x14ac:dyDescent="0.2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6"/>
      <c r="AA324" s="6"/>
      <c r="AB324" s="4"/>
      <c r="AC324" s="4"/>
      <c r="AD324" s="4"/>
    </row>
    <row r="325" spans="1:30" ht="15.75" customHeight="1" x14ac:dyDescent="0.2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6"/>
      <c r="AA325" s="6"/>
      <c r="AB325" s="4"/>
      <c r="AC325" s="4"/>
      <c r="AD325" s="4"/>
    </row>
    <row r="326" spans="1:30" ht="15.75" customHeight="1" x14ac:dyDescent="0.2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6"/>
      <c r="AA326" s="6"/>
      <c r="AB326" s="4"/>
      <c r="AC326" s="4"/>
      <c r="AD326" s="4"/>
    </row>
    <row r="327" spans="1:30" ht="15.75" customHeight="1" x14ac:dyDescent="0.2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6"/>
      <c r="AA327" s="6"/>
      <c r="AB327" s="4"/>
      <c r="AC327" s="4"/>
      <c r="AD327" s="4"/>
    </row>
    <row r="328" spans="1:30" ht="15.75" customHeight="1" x14ac:dyDescent="0.2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6"/>
      <c r="AA328" s="6"/>
      <c r="AB328" s="4"/>
      <c r="AC328" s="4"/>
      <c r="AD328" s="4"/>
    </row>
    <row r="329" spans="1:30" ht="15.75" customHeight="1" x14ac:dyDescent="0.2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6"/>
      <c r="AA329" s="6"/>
      <c r="AB329" s="4"/>
      <c r="AC329" s="4"/>
      <c r="AD329" s="4"/>
    </row>
    <row r="330" spans="1:30" ht="15.75" customHeight="1" x14ac:dyDescent="0.2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6"/>
      <c r="AA330" s="6"/>
      <c r="AB330" s="4"/>
      <c r="AC330" s="4"/>
      <c r="AD330" s="4"/>
    </row>
    <row r="331" spans="1:30" ht="15.75" customHeight="1" x14ac:dyDescent="0.2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6"/>
      <c r="AA331" s="6"/>
      <c r="AB331" s="4"/>
      <c r="AC331" s="4"/>
      <c r="AD331" s="4"/>
    </row>
    <row r="332" spans="1:30" ht="15.75" customHeight="1" x14ac:dyDescent="0.2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6"/>
      <c r="AA332" s="6"/>
      <c r="AB332" s="4"/>
      <c r="AC332" s="4"/>
      <c r="AD332" s="4"/>
    </row>
    <row r="333" spans="1:30" ht="15.75" customHeight="1" x14ac:dyDescent="0.2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6"/>
      <c r="AA333" s="6"/>
      <c r="AB333" s="4"/>
      <c r="AC333" s="4"/>
      <c r="AD333" s="4"/>
    </row>
    <row r="334" spans="1:30" ht="15.75" customHeight="1" x14ac:dyDescent="0.2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6"/>
      <c r="AA334" s="6"/>
      <c r="AB334" s="4"/>
      <c r="AC334" s="4"/>
      <c r="AD334" s="4"/>
    </row>
    <row r="335" spans="1:30" ht="15.75" customHeight="1" x14ac:dyDescent="0.2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6"/>
      <c r="AA335" s="6"/>
      <c r="AB335" s="4"/>
      <c r="AC335" s="4"/>
      <c r="AD335" s="4"/>
    </row>
    <row r="336" spans="1:30" ht="15.75" customHeight="1" x14ac:dyDescent="0.2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6"/>
      <c r="AA336" s="6"/>
      <c r="AB336" s="4"/>
      <c r="AC336" s="4"/>
      <c r="AD336" s="4"/>
    </row>
    <row r="337" spans="1:30" ht="15.75" customHeight="1" x14ac:dyDescent="0.2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6"/>
      <c r="AA337" s="6"/>
      <c r="AB337" s="4"/>
      <c r="AC337" s="4"/>
      <c r="AD337" s="4"/>
    </row>
    <row r="338" spans="1:30" ht="15.75" customHeight="1" x14ac:dyDescent="0.2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6"/>
      <c r="AA338" s="6"/>
      <c r="AB338" s="4"/>
      <c r="AC338" s="4"/>
      <c r="AD338" s="4"/>
    </row>
    <row r="339" spans="1:30" ht="15.75" customHeight="1" x14ac:dyDescent="0.2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6"/>
      <c r="AA339" s="6"/>
      <c r="AB339" s="4"/>
      <c r="AC339" s="4"/>
      <c r="AD339" s="4"/>
    </row>
    <row r="340" spans="1:30" ht="15.75" customHeight="1" x14ac:dyDescent="0.2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6"/>
      <c r="AA340" s="6"/>
      <c r="AB340" s="4"/>
      <c r="AC340" s="4"/>
      <c r="AD340" s="4"/>
    </row>
    <row r="341" spans="1:30" ht="15.75" customHeight="1" x14ac:dyDescent="0.2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6"/>
      <c r="AA341" s="6"/>
      <c r="AB341" s="4"/>
      <c r="AC341" s="4"/>
      <c r="AD341" s="4"/>
    </row>
    <row r="342" spans="1:30" ht="15.75" customHeight="1" x14ac:dyDescent="0.2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6"/>
      <c r="AA342" s="6"/>
      <c r="AB342" s="4"/>
      <c r="AC342" s="4"/>
      <c r="AD342" s="4"/>
    </row>
    <row r="343" spans="1:30" ht="15.75" customHeight="1" x14ac:dyDescent="0.2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6"/>
      <c r="AA343" s="6"/>
      <c r="AB343" s="4"/>
      <c r="AC343" s="4"/>
      <c r="AD343" s="4"/>
    </row>
    <row r="344" spans="1:30" ht="15.75" customHeight="1" x14ac:dyDescent="0.2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6"/>
      <c r="AA344" s="6"/>
      <c r="AB344" s="4"/>
      <c r="AC344" s="4"/>
      <c r="AD344" s="4"/>
    </row>
    <row r="345" spans="1:30" ht="15.75" customHeight="1" x14ac:dyDescent="0.2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6"/>
      <c r="AA345" s="6"/>
      <c r="AB345" s="4"/>
      <c r="AC345" s="4"/>
      <c r="AD345" s="4"/>
    </row>
    <row r="346" spans="1:30" ht="15.75" customHeight="1" x14ac:dyDescent="0.2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6"/>
      <c r="AA346" s="6"/>
      <c r="AB346" s="4"/>
      <c r="AC346" s="4"/>
      <c r="AD346" s="4"/>
    </row>
    <row r="347" spans="1:30" ht="15.75" customHeight="1" x14ac:dyDescent="0.2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6"/>
      <c r="AA347" s="6"/>
      <c r="AB347" s="4"/>
      <c r="AC347" s="4"/>
      <c r="AD347" s="4"/>
    </row>
    <row r="348" spans="1:30" ht="15.75" customHeight="1" x14ac:dyDescent="0.2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6"/>
      <c r="AA348" s="6"/>
      <c r="AB348" s="4"/>
      <c r="AC348" s="4"/>
      <c r="AD348" s="4"/>
    </row>
    <row r="349" spans="1:30" ht="15.75" customHeight="1" x14ac:dyDescent="0.2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6"/>
      <c r="AA349" s="6"/>
      <c r="AB349" s="4"/>
      <c r="AC349" s="4"/>
      <c r="AD349" s="4"/>
    </row>
    <row r="350" spans="1:30" ht="15.75" customHeight="1" x14ac:dyDescent="0.2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6"/>
      <c r="AA350" s="6"/>
      <c r="AB350" s="4"/>
      <c r="AC350" s="4"/>
      <c r="AD350" s="4"/>
    </row>
    <row r="351" spans="1:30" ht="15.75" customHeight="1" x14ac:dyDescent="0.2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6"/>
      <c r="AA351" s="6"/>
      <c r="AB351" s="4"/>
      <c r="AC351" s="4"/>
      <c r="AD351" s="4"/>
    </row>
    <row r="352" spans="1:30" ht="15.75" customHeight="1" x14ac:dyDescent="0.2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6"/>
      <c r="AA352" s="6"/>
      <c r="AB352" s="4"/>
      <c r="AC352" s="4"/>
      <c r="AD352" s="4"/>
    </row>
    <row r="353" spans="1:30" ht="15.75" customHeight="1" x14ac:dyDescent="0.2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6"/>
      <c r="AA353" s="6"/>
      <c r="AB353" s="4"/>
      <c r="AC353" s="4"/>
      <c r="AD353" s="4"/>
    </row>
    <row r="354" spans="1:30" ht="15.75" customHeight="1" x14ac:dyDescent="0.2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6"/>
      <c r="AA354" s="6"/>
      <c r="AB354" s="4"/>
      <c r="AC354" s="4"/>
      <c r="AD354" s="4"/>
    </row>
    <row r="355" spans="1:30" ht="15.75" customHeight="1" x14ac:dyDescent="0.2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6"/>
      <c r="AA355" s="6"/>
      <c r="AB355" s="4"/>
      <c r="AC355" s="4"/>
      <c r="AD355" s="4"/>
    </row>
    <row r="356" spans="1:30" ht="15.75" customHeight="1" x14ac:dyDescent="0.2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6"/>
      <c r="AA356" s="6"/>
      <c r="AB356" s="4"/>
      <c r="AC356" s="4"/>
      <c r="AD356" s="4"/>
    </row>
    <row r="357" spans="1:30" ht="15.75" customHeight="1" x14ac:dyDescent="0.2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6"/>
      <c r="AA357" s="6"/>
      <c r="AB357" s="4"/>
      <c r="AC357" s="4"/>
      <c r="AD357" s="4"/>
    </row>
    <row r="358" spans="1:30" ht="15.75" customHeight="1" x14ac:dyDescent="0.2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6"/>
      <c r="AA358" s="6"/>
      <c r="AB358" s="4"/>
      <c r="AC358" s="4"/>
      <c r="AD358" s="4"/>
    </row>
    <row r="359" spans="1:30" ht="15.75" customHeight="1" x14ac:dyDescent="0.2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6"/>
      <c r="AA359" s="6"/>
      <c r="AB359" s="4"/>
      <c r="AC359" s="4"/>
      <c r="AD359" s="4"/>
    </row>
    <row r="360" spans="1:30" ht="15.75" customHeight="1" x14ac:dyDescent="0.2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6"/>
      <c r="AA360" s="6"/>
      <c r="AB360" s="4"/>
      <c r="AC360" s="4"/>
      <c r="AD360" s="4"/>
    </row>
    <row r="361" spans="1:30" ht="15.75" customHeight="1" x14ac:dyDescent="0.2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6"/>
      <c r="AA361" s="6"/>
      <c r="AB361" s="4"/>
      <c r="AC361" s="4"/>
      <c r="AD361" s="4"/>
    </row>
    <row r="362" spans="1:30" ht="15.75" customHeight="1" x14ac:dyDescent="0.2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6"/>
      <c r="AA362" s="6"/>
      <c r="AB362" s="4"/>
      <c r="AC362" s="4"/>
      <c r="AD362" s="4"/>
    </row>
    <row r="363" spans="1:30" ht="15.75" customHeight="1" x14ac:dyDescent="0.2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6"/>
      <c r="AA363" s="6"/>
      <c r="AB363" s="4"/>
      <c r="AC363" s="4"/>
      <c r="AD363" s="4"/>
    </row>
    <row r="364" spans="1:30" ht="15.75" customHeight="1" x14ac:dyDescent="0.2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6"/>
      <c r="AA364" s="6"/>
      <c r="AB364" s="4"/>
      <c r="AC364" s="4"/>
      <c r="AD364" s="4"/>
    </row>
    <row r="365" spans="1:30" ht="15.75" customHeight="1" x14ac:dyDescent="0.2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6"/>
      <c r="AA365" s="6"/>
      <c r="AB365" s="4"/>
      <c r="AC365" s="4"/>
      <c r="AD365" s="4"/>
    </row>
    <row r="366" spans="1:30" ht="15.75" customHeight="1" x14ac:dyDescent="0.2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6"/>
      <c r="AA366" s="6"/>
      <c r="AB366" s="4"/>
      <c r="AC366" s="4"/>
      <c r="AD366" s="4"/>
    </row>
    <row r="367" spans="1:30" ht="15.75" customHeight="1" x14ac:dyDescent="0.2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6"/>
      <c r="AA367" s="6"/>
      <c r="AB367" s="4"/>
      <c r="AC367" s="4"/>
      <c r="AD367" s="4"/>
    </row>
    <row r="368" spans="1:30" ht="15.75" customHeight="1" x14ac:dyDescent="0.2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6"/>
      <c r="AA368" s="6"/>
      <c r="AB368" s="4"/>
      <c r="AC368" s="4"/>
      <c r="AD368" s="4"/>
    </row>
    <row r="369" spans="1:30" ht="15.75" customHeight="1" x14ac:dyDescent="0.2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6"/>
      <c r="AA369" s="6"/>
      <c r="AB369" s="4"/>
      <c r="AC369" s="4"/>
      <c r="AD369" s="4"/>
    </row>
    <row r="370" spans="1:30" ht="15.75" customHeight="1" x14ac:dyDescent="0.2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6"/>
      <c r="AA370" s="6"/>
      <c r="AB370" s="4"/>
      <c r="AC370" s="4"/>
      <c r="AD370" s="4"/>
    </row>
    <row r="371" spans="1:30" ht="15.75" customHeight="1" x14ac:dyDescent="0.2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6"/>
      <c r="AA371" s="6"/>
      <c r="AB371" s="4"/>
      <c r="AC371" s="4"/>
      <c r="AD371" s="4"/>
    </row>
    <row r="372" spans="1:30" ht="15.75" customHeight="1" x14ac:dyDescent="0.2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6"/>
      <c r="AA372" s="6"/>
      <c r="AB372" s="4"/>
      <c r="AC372" s="4"/>
      <c r="AD372" s="4"/>
    </row>
    <row r="373" spans="1:30" ht="15.75" customHeight="1" x14ac:dyDescent="0.2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6"/>
      <c r="AA373" s="6"/>
      <c r="AB373" s="4"/>
      <c r="AC373" s="4"/>
      <c r="AD373" s="4"/>
    </row>
    <row r="374" spans="1:30" ht="15.75" customHeight="1" x14ac:dyDescent="0.2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6"/>
      <c r="AA374" s="6"/>
      <c r="AB374" s="4"/>
      <c r="AC374" s="4"/>
      <c r="AD374" s="4"/>
    </row>
    <row r="375" spans="1:30" ht="15.75" customHeight="1" x14ac:dyDescent="0.2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6"/>
      <c r="AA375" s="6"/>
      <c r="AB375" s="4"/>
      <c r="AC375" s="4"/>
      <c r="AD375" s="4"/>
    </row>
    <row r="376" spans="1:30" ht="15.75" customHeight="1" x14ac:dyDescent="0.2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6"/>
      <c r="AA376" s="6"/>
      <c r="AB376" s="4"/>
      <c r="AC376" s="4"/>
      <c r="AD376" s="4"/>
    </row>
    <row r="377" spans="1:30" ht="15.75" customHeight="1" x14ac:dyDescent="0.2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6"/>
      <c r="AA377" s="6"/>
      <c r="AB377" s="4"/>
      <c r="AC377" s="4"/>
      <c r="AD377" s="4"/>
    </row>
    <row r="378" spans="1:30" ht="15.75" customHeight="1" x14ac:dyDescent="0.2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6"/>
      <c r="AA378" s="6"/>
      <c r="AB378" s="4"/>
      <c r="AC378" s="4"/>
      <c r="AD378" s="4"/>
    </row>
    <row r="379" spans="1:30" ht="15.75" customHeight="1" x14ac:dyDescent="0.2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6"/>
      <c r="AA379" s="6"/>
      <c r="AB379" s="4"/>
      <c r="AC379" s="4"/>
      <c r="AD379" s="4"/>
    </row>
    <row r="380" spans="1:30" ht="15.75" customHeight="1" x14ac:dyDescent="0.2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6"/>
      <c r="AA380" s="6"/>
      <c r="AB380" s="4"/>
      <c r="AC380" s="4"/>
      <c r="AD380" s="4"/>
    </row>
    <row r="381" spans="1:30" ht="15.75" customHeight="1" x14ac:dyDescent="0.2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6"/>
      <c r="AA381" s="6"/>
      <c r="AB381" s="4"/>
      <c r="AC381" s="4"/>
      <c r="AD381" s="4"/>
    </row>
    <row r="382" spans="1:30" ht="15.75" customHeight="1" x14ac:dyDescent="0.2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6"/>
      <c r="AA382" s="6"/>
      <c r="AB382" s="4"/>
      <c r="AC382" s="4"/>
      <c r="AD382" s="4"/>
    </row>
    <row r="383" spans="1:30" ht="15.75" customHeight="1" x14ac:dyDescent="0.2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6"/>
      <c r="AA383" s="6"/>
      <c r="AB383" s="4"/>
      <c r="AC383" s="4"/>
      <c r="AD383" s="4"/>
    </row>
    <row r="384" spans="1:30" ht="15.75" customHeight="1" x14ac:dyDescent="0.2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6"/>
      <c r="AA384" s="6"/>
      <c r="AB384" s="4"/>
      <c r="AC384" s="4"/>
      <c r="AD384" s="4"/>
    </row>
    <row r="385" spans="1:30" ht="15.75" customHeight="1" x14ac:dyDescent="0.2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6"/>
      <c r="AA385" s="6"/>
      <c r="AB385" s="4"/>
      <c r="AC385" s="4"/>
      <c r="AD385" s="4"/>
    </row>
    <row r="386" spans="1:30" ht="15.75" customHeight="1" x14ac:dyDescent="0.2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6"/>
      <c r="AA386" s="6"/>
      <c r="AB386" s="4"/>
      <c r="AC386" s="4"/>
      <c r="AD386" s="4"/>
    </row>
    <row r="387" spans="1:30" ht="15.75" customHeight="1" x14ac:dyDescent="0.2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6"/>
      <c r="AA387" s="6"/>
      <c r="AB387" s="4"/>
      <c r="AC387" s="4"/>
      <c r="AD387" s="4"/>
    </row>
    <row r="388" spans="1:30" ht="15.75" customHeight="1" x14ac:dyDescent="0.2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6"/>
      <c r="AA388" s="6"/>
      <c r="AB388" s="4"/>
      <c r="AC388" s="4"/>
      <c r="AD388" s="4"/>
    </row>
    <row r="389" spans="1:30" ht="15.75" customHeight="1" x14ac:dyDescent="0.2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6"/>
      <c r="AA389" s="6"/>
      <c r="AB389" s="4"/>
      <c r="AC389" s="4"/>
      <c r="AD389" s="4"/>
    </row>
    <row r="390" spans="1:30" ht="15.75" customHeight="1" x14ac:dyDescent="0.2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6"/>
      <c r="AA390" s="6"/>
      <c r="AB390" s="4"/>
      <c r="AC390" s="4"/>
      <c r="AD390" s="4"/>
    </row>
    <row r="391" spans="1:30" ht="15.75" customHeight="1" x14ac:dyDescent="0.2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6"/>
      <c r="AA391" s="6"/>
      <c r="AB391" s="4"/>
      <c r="AC391" s="4"/>
      <c r="AD391" s="4"/>
    </row>
    <row r="392" spans="1:30" ht="15.75" customHeight="1" x14ac:dyDescent="0.2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6"/>
      <c r="AA392" s="6"/>
      <c r="AB392" s="4"/>
      <c r="AC392" s="4"/>
      <c r="AD392" s="4"/>
    </row>
    <row r="393" spans="1:30" ht="15.75" customHeight="1" x14ac:dyDescent="0.2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6"/>
      <c r="AA393" s="6"/>
      <c r="AB393" s="4"/>
      <c r="AC393" s="4"/>
      <c r="AD393" s="4"/>
    </row>
    <row r="394" spans="1:30" ht="15.75" customHeight="1" x14ac:dyDescent="0.2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6"/>
      <c r="AA394" s="6"/>
      <c r="AB394" s="4"/>
      <c r="AC394" s="4"/>
      <c r="AD394" s="4"/>
    </row>
    <row r="395" spans="1:30" ht="15.75" customHeight="1" x14ac:dyDescent="0.2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6"/>
      <c r="AA395" s="6"/>
      <c r="AB395" s="4"/>
      <c r="AC395" s="4"/>
      <c r="AD395" s="4"/>
    </row>
    <row r="396" spans="1:30" ht="15.75" customHeight="1" x14ac:dyDescent="0.2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6"/>
      <c r="AA396" s="6"/>
      <c r="AB396" s="4"/>
      <c r="AC396" s="4"/>
      <c r="AD396" s="4"/>
    </row>
    <row r="397" spans="1:30" ht="15.75" customHeight="1" x14ac:dyDescent="0.2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6"/>
      <c r="AA397" s="6"/>
      <c r="AB397" s="4"/>
      <c r="AC397" s="4"/>
      <c r="AD397" s="4"/>
    </row>
    <row r="398" spans="1:30" ht="15.75" customHeight="1" x14ac:dyDescent="0.2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6"/>
      <c r="AA398" s="6"/>
      <c r="AB398" s="4"/>
      <c r="AC398" s="4"/>
      <c r="AD398" s="4"/>
    </row>
    <row r="399" spans="1:30" ht="15.75" customHeight="1" x14ac:dyDescent="0.2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6"/>
      <c r="AA399" s="6"/>
      <c r="AB399" s="4"/>
      <c r="AC399" s="4"/>
      <c r="AD399" s="4"/>
    </row>
    <row r="400" spans="1:30" ht="15.75" customHeight="1" x14ac:dyDescent="0.2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6"/>
      <c r="AA400" s="6"/>
      <c r="AB400" s="4"/>
      <c r="AC400" s="4"/>
      <c r="AD400" s="4"/>
    </row>
    <row r="401" spans="1:30" ht="15.75" customHeight="1" x14ac:dyDescent="0.2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6"/>
      <c r="AA401" s="6"/>
      <c r="AB401" s="4"/>
      <c r="AC401" s="4"/>
      <c r="AD401" s="4"/>
    </row>
    <row r="402" spans="1:30" ht="15.75" customHeight="1" x14ac:dyDescent="0.2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6"/>
      <c r="AA402" s="6"/>
      <c r="AB402" s="4"/>
      <c r="AC402" s="4"/>
      <c r="AD402" s="4"/>
    </row>
    <row r="403" spans="1:30" ht="15.75" customHeight="1" x14ac:dyDescent="0.2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6"/>
      <c r="AA403" s="6"/>
      <c r="AB403" s="4"/>
      <c r="AC403" s="4"/>
      <c r="AD403" s="4"/>
    </row>
    <row r="404" spans="1:30" ht="15.75" customHeight="1" x14ac:dyDescent="0.2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6"/>
      <c r="AA404" s="6"/>
      <c r="AB404" s="4"/>
      <c r="AC404" s="4"/>
      <c r="AD404" s="4"/>
    </row>
    <row r="405" spans="1:30" ht="15.75" customHeight="1" x14ac:dyDescent="0.2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6"/>
      <c r="AA405" s="6"/>
      <c r="AB405" s="4"/>
      <c r="AC405" s="4"/>
      <c r="AD405" s="4"/>
    </row>
    <row r="406" spans="1:30" ht="15.75" customHeight="1" x14ac:dyDescent="0.2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6"/>
      <c r="AA406" s="6"/>
      <c r="AB406" s="4"/>
      <c r="AC406" s="4"/>
      <c r="AD406" s="4"/>
    </row>
    <row r="407" spans="1:30" ht="15.75" customHeight="1" x14ac:dyDescent="0.2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6"/>
      <c r="AA407" s="6"/>
      <c r="AB407" s="4"/>
      <c r="AC407" s="4"/>
      <c r="AD407" s="4"/>
    </row>
    <row r="408" spans="1:30" ht="15.75" customHeight="1" x14ac:dyDescent="0.2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6"/>
      <c r="AA408" s="6"/>
      <c r="AB408" s="4"/>
      <c r="AC408" s="4"/>
      <c r="AD408" s="4"/>
    </row>
    <row r="409" spans="1:30" ht="15.75" customHeight="1" x14ac:dyDescent="0.2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6"/>
      <c r="AA409" s="6"/>
      <c r="AB409" s="4"/>
      <c r="AC409" s="4"/>
      <c r="AD409" s="4"/>
    </row>
    <row r="410" spans="1:30" ht="15.75" customHeight="1" x14ac:dyDescent="0.2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6"/>
      <c r="AA410" s="6"/>
      <c r="AB410" s="4"/>
      <c r="AC410" s="4"/>
      <c r="AD410" s="4"/>
    </row>
    <row r="411" spans="1:30" ht="15.75" customHeight="1" x14ac:dyDescent="0.2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6"/>
      <c r="AA411" s="6"/>
      <c r="AB411" s="4"/>
      <c r="AC411" s="4"/>
      <c r="AD411" s="4"/>
    </row>
    <row r="412" spans="1:30" ht="15.75" customHeight="1" x14ac:dyDescent="0.2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6"/>
      <c r="AA412" s="6"/>
      <c r="AB412" s="4"/>
      <c r="AC412" s="4"/>
      <c r="AD412" s="4"/>
    </row>
    <row r="413" spans="1:30" ht="15.75" customHeight="1" x14ac:dyDescent="0.2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6"/>
      <c r="AA413" s="6"/>
      <c r="AB413" s="4"/>
      <c r="AC413" s="4"/>
      <c r="AD413" s="4"/>
    </row>
    <row r="414" spans="1:30" ht="15.75" customHeight="1" x14ac:dyDescent="0.2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6"/>
      <c r="AA414" s="6"/>
      <c r="AB414" s="4"/>
      <c r="AC414" s="4"/>
      <c r="AD414" s="4"/>
    </row>
    <row r="415" spans="1:30" ht="15.75" customHeight="1" x14ac:dyDescent="0.2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6"/>
      <c r="AA415" s="6"/>
      <c r="AB415" s="4"/>
      <c r="AC415" s="4"/>
      <c r="AD415" s="4"/>
    </row>
    <row r="416" spans="1:30" ht="15.75" customHeight="1" x14ac:dyDescent="0.2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6"/>
      <c r="AA416" s="6"/>
      <c r="AB416" s="4"/>
      <c r="AC416" s="4"/>
      <c r="AD416" s="4"/>
    </row>
    <row r="417" spans="1:30" ht="15.75" customHeight="1" x14ac:dyDescent="0.2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6"/>
      <c r="AA417" s="6"/>
      <c r="AB417" s="4"/>
      <c r="AC417" s="4"/>
      <c r="AD417" s="4"/>
    </row>
    <row r="418" spans="1:30" ht="15.75" customHeight="1" x14ac:dyDescent="0.2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6"/>
      <c r="AA418" s="6"/>
      <c r="AB418" s="4"/>
      <c r="AC418" s="4"/>
      <c r="AD418" s="4"/>
    </row>
    <row r="419" spans="1:30" ht="15.75" customHeight="1" x14ac:dyDescent="0.2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6"/>
      <c r="AA419" s="6"/>
      <c r="AB419" s="4"/>
      <c r="AC419" s="4"/>
      <c r="AD419" s="4"/>
    </row>
    <row r="420" spans="1:30" ht="15.75" customHeight="1" x14ac:dyDescent="0.2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6"/>
      <c r="AA420" s="6"/>
      <c r="AB420" s="4"/>
      <c r="AC420" s="4"/>
      <c r="AD420" s="4"/>
    </row>
    <row r="421" spans="1:30" ht="15.75" customHeight="1" x14ac:dyDescent="0.2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6"/>
      <c r="AA421" s="6"/>
      <c r="AB421" s="4"/>
      <c r="AC421" s="4"/>
      <c r="AD421" s="4"/>
    </row>
    <row r="422" spans="1:30" ht="15.75" customHeight="1" x14ac:dyDescent="0.2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6"/>
      <c r="AA422" s="6"/>
      <c r="AB422" s="4"/>
      <c r="AC422" s="4"/>
      <c r="AD422" s="4"/>
    </row>
    <row r="423" spans="1:30" ht="15.75" customHeight="1" x14ac:dyDescent="0.2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6"/>
      <c r="AA423" s="6"/>
      <c r="AB423" s="4"/>
      <c r="AC423" s="4"/>
      <c r="AD423" s="4"/>
    </row>
    <row r="424" spans="1:30" ht="15.75" customHeight="1" x14ac:dyDescent="0.2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6"/>
      <c r="AA424" s="6"/>
      <c r="AB424" s="4"/>
      <c r="AC424" s="4"/>
      <c r="AD424" s="4"/>
    </row>
    <row r="425" spans="1:30" ht="15.75" customHeight="1" x14ac:dyDescent="0.2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6"/>
      <c r="AA425" s="6"/>
      <c r="AB425" s="4"/>
      <c r="AC425" s="4"/>
      <c r="AD425" s="4"/>
    </row>
    <row r="426" spans="1:30" ht="15.75" customHeight="1" x14ac:dyDescent="0.2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6"/>
      <c r="AA426" s="6"/>
      <c r="AB426" s="4"/>
      <c r="AC426" s="4"/>
      <c r="AD426" s="4"/>
    </row>
    <row r="427" spans="1:30" ht="15.75" customHeight="1" x14ac:dyDescent="0.2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6"/>
      <c r="AA427" s="6"/>
      <c r="AB427" s="4"/>
      <c r="AC427" s="4"/>
      <c r="AD427" s="4"/>
    </row>
    <row r="428" spans="1:30" ht="15.75" customHeight="1" x14ac:dyDescent="0.2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6"/>
      <c r="AA428" s="6"/>
      <c r="AB428" s="4"/>
      <c r="AC428" s="4"/>
      <c r="AD428" s="4"/>
    </row>
    <row r="429" spans="1:30" ht="15.75" customHeight="1" x14ac:dyDescent="0.2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6"/>
      <c r="AA429" s="6"/>
      <c r="AB429" s="4"/>
      <c r="AC429" s="4"/>
      <c r="AD429" s="4"/>
    </row>
    <row r="430" spans="1:30" ht="15.75" customHeight="1" x14ac:dyDescent="0.2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6"/>
      <c r="AA430" s="6"/>
      <c r="AB430" s="4"/>
      <c r="AC430" s="4"/>
      <c r="AD430" s="4"/>
    </row>
    <row r="431" spans="1:30" ht="15.75" customHeight="1" x14ac:dyDescent="0.2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6"/>
      <c r="AA431" s="6"/>
      <c r="AB431" s="4"/>
      <c r="AC431" s="4"/>
      <c r="AD431" s="4"/>
    </row>
    <row r="432" spans="1:30" ht="15.75" customHeight="1" x14ac:dyDescent="0.2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6"/>
      <c r="AA432" s="6"/>
      <c r="AB432" s="4"/>
      <c r="AC432" s="4"/>
      <c r="AD432" s="4"/>
    </row>
    <row r="433" spans="1:30" ht="15.75" customHeight="1" x14ac:dyDescent="0.2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6"/>
      <c r="AA433" s="6"/>
      <c r="AB433" s="4"/>
      <c r="AC433" s="4"/>
      <c r="AD433" s="4"/>
    </row>
    <row r="434" spans="1:30" ht="15.75" customHeight="1" x14ac:dyDescent="0.2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6"/>
      <c r="AA434" s="6"/>
      <c r="AB434" s="4"/>
      <c r="AC434" s="4"/>
      <c r="AD434" s="4"/>
    </row>
    <row r="435" spans="1:30" ht="15.75" customHeight="1" x14ac:dyDescent="0.2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6"/>
      <c r="AA435" s="6"/>
      <c r="AB435" s="4"/>
      <c r="AC435" s="4"/>
      <c r="AD435" s="4"/>
    </row>
    <row r="436" spans="1:30" ht="15.75" customHeight="1" x14ac:dyDescent="0.2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6"/>
      <c r="AA436" s="6"/>
      <c r="AB436" s="4"/>
      <c r="AC436" s="4"/>
      <c r="AD436" s="4"/>
    </row>
    <row r="437" spans="1:30" ht="15.75" customHeight="1" x14ac:dyDescent="0.2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6"/>
      <c r="AA437" s="6"/>
      <c r="AB437" s="4"/>
      <c r="AC437" s="4"/>
      <c r="AD437" s="4"/>
    </row>
    <row r="438" spans="1:30" ht="15.75" customHeight="1" x14ac:dyDescent="0.2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6"/>
      <c r="AA438" s="6"/>
      <c r="AB438" s="4"/>
      <c r="AC438" s="4"/>
      <c r="AD438" s="4"/>
    </row>
    <row r="439" spans="1:30" ht="15.75" customHeight="1" x14ac:dyDescent="0.2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6"/>
      <c r="AA439" s="6"/>
      <c r="AB439" s="4"/>
      <c r="AC439" s="4"/>
      <c r="AD439" s="4"/>
    </row>
    <row r="440" spans="1:30" ht="15.75" customHeight="1" x14ac:dyDescent="0.2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6"/>
      <c r="AA440" s="6"/>
      <c r="AB440" s="4"/>
      <c r="AC440" s="4"/>
      <c r="AD440" s="4"/>
    </row>
    <row r="441" spans="1:30" ht="15.75" customHeight="1" x14ac:dyDescent="0.2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6"/>
      <c r="AA441" s="6"/>
      <c r="AB441" s="4"/>
      <c r="AC441" s="4"/>
      <c r="AD441" s="4"/>
    </row>
    <row r="442" spans="1:30" ht="15.75" customHeight="1" x14ac:dyDescent="0.2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6"/>
      <c r="AA442" s="6"/>
      <c r="AB442" s="4"/>
      <c r="AC442" s="4"/>
      <c r="AD442" s="4"/>
    </row>
    <row r="443" spans="1:30" ht="15.75" customHeight="1" x14ac:dyDescent="0.2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6"/>
      <c r="AA443" s="6"/>
      <c r="AB443" s="4"/>
      <c r="AC443" s="4"/>
      <c r="AD443" s="4"/>
    </row>
    <row r="444" spans="1:30" ht="15.75" customHeight="1" x14ac:dyDescent="0.2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6"/>
      <c r="AA444" s="6"/>
      <c r="AB444" s="4"/>
      <c r="AC444" s="4"/>
      <c r="AD444" s="4"/>
    </row>
    <row r="445" spans="1:30" ht="15.75" customHeight="1" x14ac:dyDescent="0.2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6"/>
      <c r="AA445" s="6"/>
      <c r="AB445" s="4"/>
      <c r="AC445" s="4"/>
      <c r="AD445" s="4"/>
    </row>
    <row r="446" spans="1:30" ht="15.75" customHeight="1" x14ac:dyDescent="0.2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6"/>
      <c r="AA446" s="6"/>
      <c r="AB446" s="4"/>
      <c r="AC446" s="4"/>
      <c r="AD446" s="4"/>
    </row>
    <row r="447" spans="1:30" ht="15.75" customHeight="1" x14ac:dyDescent="0.2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6"/>
      <c r="AA447" s="6"/>
      <c r="AB447" s="4"/>
      <c r="AC447" s="4"/>
      <c r="AD447" s="4"/>
    </row>
    <row r="448" spans="1:30" ht="15.75" customHeight="1" x14ac:dyDescent="0.2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6"/>
      <c r="AA448" s="6"/>
      <c r="AB448" s="4"/>
      <c r="AC448" s="4"/>
      <c r="AD448" s="4"/>
    </row>
    <row r="449" spans="1:30" ht="15.75" customHeight="1" x14ac:dyDescent="0.2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6"/>
      <c r="AA449" s="6"/>
      <c r="AB449" s="4"/>
      <c r="AC449" s="4"/>
      <c r="AD449" s="4"/>
    </row>
    <row r="450" spans="1:30" ht="15.75" customHeight="1" x14ac:dyDescent="0.2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6"/>
      <c r="AA450" s="6"/>
      <c r="AB450" s="4"/>
      <c r="AC450" s="4"/>
      <c r="AD450" s="4"/>
    </row>
    <row r="451" spans="1:30" ht="15.75" customHeight="1" x14ac:dyDescent="0.2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6"/>
      <c r="AA451" s="6"/>
      <c r="AB451" s="4"/>
      <c r="AC451" s="4"/>
      <c r="AD451" s="4"/>
    </row>
    <row r="452" spans="1:30" ht="15.75" customHeight="1" x14ac:dyDescent="0.2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6"/>
      <c r="AA452" s="6"/>
      <c r="AB452" s="4"/>
      <c r="AC452" s="4"/>
      <c r="AD452" s="4"/>
    </row>
    <row r="453" spans="1:30" ht="15.75" customHeight="1" x14ac:dyDescent="0.2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6"/>
      <c r="AA453" s="6"/>
      <c r="AB453" s="4"/>
      <c r="AC453" s="4"/>
      <c r="AD453" s="4"/>
    </row>
    <row r="454" spans="1:30" ht="15.75" customHeight="1" x14ac:dyDescent="0.2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6"/>
      <c r="AA454" s="6"/>
      <c r="AB454" s="4"/>
      <c r="AC454" s="4"/>
      <c r="AD454" s="4"/>
    </row>
    <row r="455" spans="1:30" ht="15.75" customHeight="1" x14ac:dyDescent="0.2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6"/>
      <c r="AA455" s="6"/>
      <c r="AB455" s="4"/>
      <c r="AC455" s="4"/>
      <c r="AD455" s="4"/>
    </row>
    <row r="456" spans="1:30" ht="15.75" customHeight="1" x14ac:dyDescent="0.2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6"/>
      <c r="AA456" s="6"/>
      <c r="AB456" s="4"/>
      <c r="AC456" s="4"/>
      <c r="AD456" s="4"/>
    </row>
    <row r="457" spans="1:30" ht="15.75" customHeight="1" x14ac:dyDescent="0.2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6"/>
      <c r="AA457" s="6"/>
      <c r="AB457" s="4"/>
      <c r="AC457" s="4"/>
      <c r="AD457" s="4"/>
    </row>
    <row r="458" spans="1:30" ht="15.75" customHeight="1" x14ac:dyDescent="0.2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6"/>
      <c r="AA458" s="6"/>
      <c r="AB458" s="4"/>
      <c r="AC458" s="4"/>
      <c r="AD458" s="4"/>
    </row>
    <row r="459" spans="1:30" ht="15.75" customHeight="1" x14ac:dyDescent="0.2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6"/>
      <c r="AA459" s="6"/>
      <c r="AB459" s="4"/>
      <c r="AC459" s="4"/>
      <c r="AD459" s="4"/>
    </row>
    <row r="460" spans="1:30" ht="15.75" customHeight="1" x14ac:dyDescent="0.2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6"/>
      <c r="AA460" s="6"/>
      <c r="AB460" s="4"/>
      <c r="AC460" s="4"/>
      <c r="AD460" s="4"/>
    </row>
    <row r="461" spans="1:30" ht="15.75" customHeight="1" x14ac:dyDescent="0.2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6"/>
      <c r="AA461" s="6"/>
      <c r="AB461" s="4"/>
      <c r="AC461" s="4"/>
      <c r="AD461" s="4"/>
    </row>
    <row r="462" spans="1:30" ht="15.75" customHeight="1" x14ac:dyDescent="0.2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6"/>
      <c r="AA462" s="6"/>
      <c r="AB462" s="4"/>
      <c r="AC462" s="4"/>
      <c r="AD462" s="4"/>
    </row>
    <row r="463" spans="1:30" ht="15.75" customHeight="1" x14ac:dyDescent="0.2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6"/>
      <c r="AA463" s="6"/>
      <c r="AB463" s="4"/>
      <c r="AC463" s="4"/>
      <c r="AD463" s="4"/>
    </row>
    <row r="464" spans="1:30" ht="15.75" customHeight="1" x14ac:dyDescent="0.2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6"/>
      <c r="AA464" s="6"/>
      <c r="AB464" s="4"/>
      <c r="AC464" s="4"/>
      <c r="AD464" s="4"/>
    </row>
    <row r="465" spans="1:30" ht="15.75" customHeight="1" x14ac:dyDescent="0.2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6"/>
      <c r="AA465" s="6"/>
      <c r="AB465" s="4"/>
      <c r="AC465" s="4"/>
      <c r="AD465" s="4"/>
    </row>
    <row r="466" spans="1:30" ht="15.75" customHeight="1" x14ac:dyDescent="0.2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6"/>
      <c r="AA466" s="6"/>
      <c r="AB466" s="4"/>
      <c r="AC466" s="4"/>
      <c r="AD466" s="4"/>
    </row>
    <row r="467" spans="1:30" ht="15.75" customHeight="1" x14ac:dyDescent="0.2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6"/>
      <c r="AA467" s="6"/>
      <c r="AB467" s="4"/>
      <c r="AC467" s="4"/>
      <c r="AD467" s="4"/>
    </row>
    <row r="468" spans="1:30" ht="15.75" customHeight="1" x14ac:dyDescent="0.2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6"/>
      <c r="AA468" s="6"/>
      <c r="AB468" s="4"/>
      <c r="AC468" s="4"/>
      <c r="AD468" s="4"/>
    </row>
    <row r="469" spans="1:30" ht="15.75" customHeight="1" x14ac:dyDescent="0.2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6"/>
      <c r="AA469" s="6"/>
      <c r="AB469" s="4"/>
      <c r="AC469" s="4"/>
      <c r="AD469" s="4"/>
    </row>
    <row r="470" spans="1:30" ht="15.75" customHeight="1" x14ac:dyDescent="0.2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6"/>
      <c r="AA470" s="6"/>
      <c r="AB470" s="4"/>
      <c r="AC470" s="4"/>
      <c r="AD470" s="4"/>
    </row>
    <row r="471" spans="1:30" ht="15.75" customHeight="1" x14ac:dyDescent="0.2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6"/>
      <c r="AA471" s="6"/>
      <c r="AB471" s="4"/>
      <c r="AC471" s="4"/>
      <c r="AD471" s="4"/>
    </row>
    <row r="472" spans="1:30" ht="15.75" customHeight="1" x14ac:dyDescent="0.2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6"/>
      <c r="AA472" s="6"/>
      <c r="AB472" s="4"/>
      <c r="AC472" s="4"/>
      <c r="AD472" s="4"/>
    </row>
    <row r="473" spans="1:30" ht="15.75" customHeight="1" x14ac:dyDescent="0.2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6"/>
      <c r="AA473" s="6"/>
      <c r="AB473" s="4"/>
      <c r="AC473" s="4"/>
      <c r="AD473" s="4"/>
    </row>
    <row r="474" spans="1:30" ht="15.75" customHeight="1" x14ac:dyDescent="0.2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6"/>
      <c r="AA474" s="6"/>
      <c r="AB474" s="4"/>
      <c r="AC474" s="4"/>
      <c r="AD474" s="4"/>
    </row>
    <row r="475" spans="1:30" ht="15.75" customHeight="1" x14ac:dyDescent="0.2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6"/>
      <c r="AA475" s="6"/>
      <c r="AB475" s="4"/>
      <c r="AC475" s="4"/>
      <c r="AD475" s="4"/>
    </row>
    <row r="476" spans="1:30" ht="15.75" customHeight="1" x14ac:dyDescent="0.2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6"/>
      <c r="AA476" s="6"/>
      <c r="AB476" s="4"/>
      <c r="AC476" s="4"/>
      <c r="AD476" s="4"/>
    </row>
    <row r="477" spans="1:30" ht="15.75" customHeight="1" x14ac:dyDescent="0.2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6"/>
      <c r="AA477" s="6"/>
      <c r="AB477" s="4"/>
      <c r="AC477" s="4"/>
      <c r="AD477" s="4"/>
    </row>
    <row r="478" spans="1:30" ht="15.75" customHeight="1" x14ac:dyDescent="0.2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6"/>
      <c r="AA478" s="6"/>
      <c r="AB478" s="4"/>
      <c r="AC478" s="4"/>
      <c r="AD478" s="4"/>
    </row>
    <row r="479" spans="1:30" ht="15.75" customHeight="1" x14ac:dyDescent="0.2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6"/>
      <c r="AA479" s="6"/>
      <c r="AB479" s="4"/>
      <c r="AC479" s="4"/>
      <c r="AD479" s="4"/>
    </row>
    <row r="480" spans="1:30" ht="15.75" customHeight="1" x14ac:dyDescent="0.2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6"/>
      <c r="AA480" s="6"/>
      <c r="AB480" s="4"/>
      <c r="AC480" s="4"/>
      <c r="AD480" s="4"/>
    </row>
    <row r="481" spans="1:30" ht="15.75" customHeight="1" x14ac:dyDescent="0.2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6"/>
      <c r="AA481" s="6"/>
      <c r="AB481" s="4"/>
      <c r="AC481" s="4"/>
      <c r="AD481" s="4"/>
    </row>
    <row r="482" spans="1:30" ht="15.75" customHeight="1" x14ac:dyDescent="0.2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6"/>
      <c r="AA482" s="6"/>
      <c r="AB482" s="4"/>
      <c r="AC482" s="4"/>
      <c r="AD482" s="4"/>
    </row>
    <row r="483" spans="1:30" ht="15.75" customHeight="1" x14ac:dyDescent="0.2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6"/>
      <c r="AA483" s="6"/>
      <c r="AB483" s="4"/>
      <c r="AC483" s="4"/>
      <c r="AD483" s="4"/>
    </row>
    <row r="484" spans="1:30" ht="15.75" customHeight="1" x14ac:dyDescent="0.2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6"/>
      <c r="AA484" s="6"/>
      <c r="AB484" s="4"/>
      <c r="AC484" s="4"/>
      <c r="AD484" s="4"/>
    </row>
    <row r="485" spans="1:30" ht="15.75" customHeight="1" x14ac:dyDescent="0.2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6"/>
      <c r="AA485" s="6"/>
      <c r="AB485" s="4"/>
      <c r="AC485" s="4"/>
      <c r="AD485" s="4"/>
    </row>
    <row r="486" spans="1:30" ht="15.75" customHeight="1" x14ac:dyDescent="0.2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6"/>
      <c r="AA486" s="6"/>
      <c r="AB486" s="4"/>
      <c r="AC486" s="4"/>
      <c r="AD486" s="4"/>
    </row>
    <row r="487" spans="1:30" ht="15.75" customHeight="1" x14ac:dyDescent="0.2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6"/>
      <c r="AA487" s="6"/>
      <c r="AB487" s="4"/>
      <c r="AC487" s="4"/>
      <c r="AD487" s="4"/>
    </row>
    <row r="488" spans="1:30" ht="15.75" customHeight="1" x14ac:dyDescent="0.2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6"/>
      <c r="AA488" s="6"/>
      <c r="AB488" s="4"/>
      <c r="AC488" s="4"/>
      <c r="AD488" s="4"/>
    </row>
    <row r="489" spans="1:30" ht="15.75" customHeight="1" x14ac:dyDescent="0.2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6"/>
      <c r="AA489" s="6"/>
      <c r="AB489" s="4"/>
      <c r="AC489" s="4"/>
      <c r="AD489" s="4"/>
    </row>
    <row r="490" spans="1:30" ht="15.75" customHeight="1" x14ac:dyDescent="0.2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6"/>
      <c r="AA490" s="6"/>
      <c r="AB490" s="4"/>
      <c r="AC490" s="4"/>
      <c r="AD490" s="4"/>
    </row>
    <row r="491" spans="1:30" ht="15.75" customHeight="1" x14ac:dyDescent="0.2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6"/>
      <c r="AA491" s="6"/>
      <c r="AB491" s="4"/>
      <c r="AC491" s="4"/>
      <c r="AD491" s="4"/>
    </row>
    <row r="492" spans="1:30" ht="15.75" customHeight="1" x14ac:dyDescent="0.2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6"/>
      <c r="AA492" s="6"/>
      <c r="AB492" s="4"/>
      <c r="AC492" s="4"/>
      <c r="AD492" s="4"/>
    </row>
    <row r="493" spans="1:30" ht="15.75" customHeight="1" x14ac:dyDescent="0.2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6"/>
      <c r="AA493" s="6"/>
      <c r="AB493" s="4"/>
      <c r="AC493" s="4"/>
      <c r="AD493" s="4"/>
    </row>
    <row r="494" spans="1:30" ht="15.75" customHeight="1" x14ac:dyDescent="0.2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6"/>
      <c r="AA494" s="6"/>
      <c r="AB494" s="4"/>
      <c r="AC494" s="4"/>
      <c r="AD494" s="4"/>
    </row>
    <row r="495" spans="1:30" ht="15.75" customHeight="1" x14ac:dyDescent="0.2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6"/>
      <c r="AA495" s="6"/>
      <c r="AB495" s="4"/>
      <c r="AC495" s="4"/>
      <c r="AD495" s="4"/>
    </row>
    <row r="496" spans="1:30" ht="15.75" customHeight="1" x14ac:dyDescent="0.2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6"/>
      <c r="AA496" s="6"/>
      <c r="AB496" s="4"/>
      <c r="AC496" s="4"/>
      <c r="AD496" s="4"/>
    </row>
    <row r="497" spans="1:30" ht="15.75" customHeight="1" x14ac:dyDescent="0.2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6"/>
      <c r="AA497" s="6"/>
      <c r="AB497" s="4"/>
      <c r="AC497" s="4"/>
      <c r="AD497" s="4"/>
    </row>
    <row r="498" spans="1:30" ht="15.75" customHeight="1" x14ac:dyDescent="0.2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6"/>
      <c r="AA498" s="6"/>
      <c r="AB498" s="4"/>
      <c r="AC498" s="4"/>
      <c r="AD498" s="4"/>
    </row>
    <row r="499" spans="1:30" ht="15.75" customHeight="1" x14ac:dyDescent="0.2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6"/>
      <c r="AA499" s="6"/>
      <c r="AB499" s="4"/>
      <c r="AC499" s="4"/>
      <c r="AD499" s="4"/>
    </row>
    <row r="500" spans="1:30" ht="15.75" customHeight="1" x14ac:dyDescent="0.2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6"/>
      <c r="AA500" s="6"/>
      <c r="AB500" s="4"/>
      <c r="AC500" s="4"/>
      <c r="AD500" s="4"/>
    </row>
    <row r="501" spans="1:30" ht="15.75" customHeight="1" x14ac:dyDescent="0.2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6"/>
      <c r="AA501" s="6"/>
      <c r="AB501" s="4"/>
      <c r="AC501" s="4"/>
      <c r="AD501" s="4"/>
    </row>
    <row r="502" spans="1:30" ht="15.75" customHeight="1" x14ac:dyDescent="0.2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6"/>
      <c r="AA502" s="6"/>
      <c r="AB502" s="4"/>
      <c r="AC502" s="4"/>
      <c r="AD502" s="4"/>
    </row>
    <row r="503" spans="1:30" ht="15.75" customHeight="1" x14ac:dyDescent="0.2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6"/>
      <c r="AA503" s="6"/>
      <c r="AB503" s="4"/>
      <c r="AC503" s="4"/>
      <c r="AD503" s="4"/>
    </row>
    <row r="504" spans="1:30" ht="15.75" customHeight="1" x14ac:dyDescent="0.2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6"/>
      <c r="AA504" s="6"/>
      <c r="AB504" s="4"/>
      <c r="AC504" s="4"/>
      <c r="AD504" s="4"/>
    </row>
    <row r="505" spans="1:30" ht="15.75" customHeight="1" x14ac:dyDescent="0.2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6"/>
      <c r="AA505" s="6"/>
      <c r="AB505" s="4"/>
      <c r="AC505" s="4"/>
      <c r="AD505" s="4"/>
    </row>
    <row r="506" spans="1:30" ht="15.75" customHeight="1" x14ac:dyDescent="0.2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6"/>
      <c r="AA506" s="6"/>
      <c r="AB506" s="4"/>
      <c r="AC506" s="4"/>
      <c r="AD506" s="4"/>
    </row>
    <row r="507" spans="1:30" ht="15.75" customHeight="1" x14ac:dyDescent="0.2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6"/>
      <c r="AA507" s="6"/>
      <c r="AB507" s="4"/>
      <c r="AC507" s="4"/>
      <c r="AD507" s="4"/>
    </row>
    <row r="508" spans="1:30" ht="15.75" customHeight="1" x14ac:dyDescent="0.2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6"/>
      <c r="AA508" s="6"/>
      <c r="AB508" s="4"/>
      <c r="AC508" s="4"/>
      <c r="AD508" s="4"/>
    </row>
    <row r="509" spans="1:30" ht="15.75" customHeight="1" x14ac:dyDescent="0.2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6"/>
      <c r="AA509" s="6"/>
      <c r="AB509" s="4"/>
      <c r="AC509" s="4"/>
      <c r="AD509" s="4"/>
    </row>
    <row r="510" spans="1:30" ht="15.75" customHeight="1" x14ac:dyDescent="0.2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6"/>
      <c r="AA510" s="6"/>
      <c r="AB510" s="4"/>
      <c r="AC510" s="4"/>
      <c r="AD510" s="4"/>
    </row>
    <row r="511" spans="1:30" ht="15.75" customHeight="1" x14ac:dyDescent="0.2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6"/>
      <c r="AA511" s="6"/>
      <c r="AB511" s="4"/>
      <c r="AC511" s="4"/>
      <c r="AD511" s="4"/>
    </row>
    <row r="512" spans="1:30" ht="15.75" customHeight="1" x14ac:dyDescent="0.2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6"/>
      <c r="AA512" s="6"/>
      <c r="AB512" s="4"/>
      <c r="AC512" s="4"/>
      <c r="AD512" s="4"/>
    </row>
    <row r="513" spans="1:30" ht="15.75" customHeight="1" x14ac:dyDescent="0.2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6"/>
      <c r="AA513" s="6"/>
      <c r="AB513" s="4"/>
      <c r="AC513" s="4"/>
      <c r="AD513" s="4"/>
    </row>
    <row r="514" spans="1:30" ht="15.75" customHeight="1" x14ac:dyDescent="0.2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6"/>
      <c r="AA514" s="6"/>
      <c r="AB514" s="4"/>
      <c r="AC514" s="4"/>
      <c r="AD514" s="4"/>
    </row>
    <row r="515" spans="1:30" ht="15.75" customHeight="1" x14ac:dyDescent="0.2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6"/>
      <c r="AA515" s="6"/>
      <c r="AB515" s="4"/>
      <c r="AC515" s="4"/>
      <c r="AD515" s="4"/>
    </row>
    <row r="516" spans="1:30" ht="15.75" customHeight="1" x14ac:dyDescent="0.2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6"/>
      <c r="AA516" s="6"/>
      <c r="AB516" s="4"/>
      <c r="AC516" s="4"/>
      <c r="AD516" s="4"/>
    </row>
    <row r="517" spans="1:30" ht="15.75" customHeight="1" x14ac:dyDescent="0.2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6"/>
      <c r="AA517" s="6"/>
      <c r="AB517" s="4"/>
      <c r="AC517" s="4"/>
      <c r="AD517" s="4"/>
    </row>
    <row r="518" spans="1:30" ht="15.75" customHeight="1" x14ac:dyDescent="0.2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6"/>
      <c r="AA518" s="6"/>
      <c r="AB518" s="4"/>
      <c r="AC518" s="4"/>
      <c r="AD518" s="4"/>
    </row>
    <row r="519" spans="1:30" ht="15.75" customHeight="1" x14ac:dyDescent="0.2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6"/>
      <c r="AA519" s="6"/>
      <c r="AB519" s="4"/>
      <c r="AC519" s="4"/>
      <c r="AD519" s="4"/>
    </row>
    <row r="520" spans="1:30" ht="15.75" customHeight="1" x14ac:dyDescent="0.2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6"/>
      <c r="AA520" s="6"/>
      <c r="AB520" s="4"/>
      <c r="AC520" s="4"/>
      <c r="AD520" s="4"/>
    </row>
    <row r="521" spans="1:30" ht="15.75" customHeight="1" x14ac:dyDescent="0.2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6"/>
      <c r="AA521" s="6"/>
      <c r="AB521" s="4"/>
      <c r="AC521" s="4"/>
      <c r="AD521" s="4"/>
    </row>
    <row r="522" spans="1:30" ht="15.75" customHeight="1" x14ac:dyDescent="0.2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6"/>
      <c r="AA522" s="6"/>
      <c r="AB522" s="4"/>
      <c r="AC522" s="4"/>
      <c r="AD522" s="4"/>
    </row>
    <row r="523" spans="1:30" ht="15.75" customHeight="1" x14ac:dyDescent="0.2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6"/>
      <c r="AA523" s="6"/>
      <c r="AB523" s="4"/>
      <c r="AC523" s="4"/>
      <c r="AD523" s="4"/>
    </row>
    <row r="524" spans="1:30" ht="15.75" customHeight="1" x14ac:dyDescent="0.2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6"/>
      <c r="AA524" s="6"/>
      <c r="AB524" s="4"/>
      <c r="AC524" s="4"/>
      <c r="AD524" s="4"/>
    </row>
    <row r="525" spans="1:30" ht="15.75" customHeight="1" x14ac:dyDescent="0.2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6"/>
      <c r="AA525" s="6"/>
      <c r="AB525" s="4"/>
      <c r="AC525" s="4"/>
      <c r="AD525" s="4"/>
    </row>
    <row r="526" spans="1:30" ht="15.75" customHeight="1" x14ac:dyDescent="0.2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6"/>
      <c r="AA526" s="6"/>
      <c r="AB526" s="4"/>
      <c r="AC526" s="4"/>
      <c r="AD526" s="4"/>
    </row>
    <row r="527" spans="1:30" ht="15.75" customHeight="1" x14ac:dyDescent="0.2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6"/>
      <c r="AA527" s="6"/>
      <c r="AB527" s="4"/>
      <c r="AC527" s="4"/>
      <c r="AD527" s="4"/>
    </row>
    <row r="528" spans="1:30" ht="15.75" customHeight="1" x14ac:dyDescent="0.2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6"/>
      <c r="AA528" s="6"/>
      <c r="AB528" s="4"/>
      <c r="AC528" s="4"/>
      <c r="AD528" s="4"/>
    </row>
    <row r="529" spans="1:30" ht="15.75" customHeight="1" x14ac:dyDescent="0.2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6"/>
      <c r="AA529" s="6"/>
      <c r="AB529" s="4"/>
      <c r="AC529" s="4"/>
      <c r="AD529" s="4"/>
    </row>
    <row r="530" spans="1:30" ht="15.75" customHeight="1" x14ac:dyDescent="0.2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6"/>
      <c r="AA530" s="6"/>
      <c r="AB530" s="4"/>
      <c r="AC530" s="4"/>
      <c r="AD530" s="4"/>
    </row>
    <row r="531" spans="1:30" ht="15.75" customHeight="1" x14ac:dyDescent="0.2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6"/>
      <c r="AA531" s="6"/>
      <c r="AB531" s="4"/>
      <c r="AC531" s="4"/>
      <c r="AD531" s="4"/>
    </row>
    <row r="532" spans="1:30" ht="15.75" customHeight="1" x14ac:dyDescent="0.2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6"/>
      <c r="AA532" s="6"/>
      <c r="AB532" s="4"/>
      <c r="AC532" s="4"/>
      <c r="AD532" s="4"/>
    </row>
    <row r="533" spans="1:30" ht="15.75" customHeight="1" x14ac:dyDescent="0.2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6"/>
      <c r="AA533" s="6"/>
      <c r="AB533" s="4"/>
      <c r="AC533" s="4"/>
      <c r="AD533" s="4"/>
    </row>
    <row r="534" spans="1:30" ht="15.75" customHeight="1" x14ac:dyDescent="0.2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6"/>
      <c r="AA534" s="6"/>
      <c r="AB534" s="4"/>
      <c r="AC534" s="4"/>
      <c r="AD534" s="4"/>
    </row>
    <row r="535" spans="1:30" ht="15.75" customHeight="1" x14ac:dyDescent="0.2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6"/>
      <c r="AA535" s="6"/>
      <c r="AB535" s="4"/>
      <c r="AC535" s="4"/>
      <c r="AD535" s="4"/>
    </row>
    <row r="536" spans="1:30" ht="15.75" customHeight="1" x14ac:dyDescent="0.2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6"/>
      <c r="AA536" s="6"/>
      <c r="AB536" s="4"/>
      <c r="AC536" s="4"/>
      <c r="AD536" s="4"/>
    </row>
    <row r="537" spans="1:30" ht="15.75" customHeight="1" x14ac:dyDescent="0.2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6"/>
      <c r="AA537" s="6"/>
      <c r="AB537" s="4"/>
      <c r="AC537" s="4"/>
      <c r="AD537" s="4"/>
    </row>
    <row r="538" spans="1:30" ht="15.75" customHeight="1" x14ac:dyDescent="0.2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6"/>
      <c r="AA538" s="6"/>
      <c r="AB538" s="4"/>
      <c r="AC538" s="4"/>
      <c r="AD538" s="4"/>
    </row>
    <row r="539" spans="1:30" ht="15.75" customHeight="1" x14ac:dyDescent="0.2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6"/>
      <c r="AA539" s="6"/>
      <c r="AB539" s="4"/>
      <c r="AC539" s="4"/>
      <c r="AD539" s="4"/>
    </row>
    <row r="540" spans="1:30" ht="15.75" customHeight="1" x14ac:dyDescent="0.2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6"/>
      <c r="AA540" s="6"/>
      <c r="AB540" s="4"/>
      <c r="AC540" s="4"/>
      <c r="AD540" s="4"/>
    </row>
    <row r="541" spans="1:30" ht="15.75" customHeight="1" x14ac:dyDescent="0.2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6"/>
      <c r="AA541" s="6"/>
      <c r="AB541" s="4"/>
      <c r="AC541" s="4"/>
      <c r="AD541" s="4"/>
    </row>
    <row r="542" spans="1:30" ht="15.75" customHeight="1" x14ac:dyDescent="0.2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6"/>
      <c r="AA542" s="6"/>
      <c r="AB542" s="4"/>
      <c r="AC542" s="4"/>
      <c r="AD542" s="4"/>
    </row>
    <row r="543" spans="1:30" ht="15.75" customHeight="1" x14ac:dyDescent="0.2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6"/>
      <c r="AA543" s="6"/>
      <c r="AB543" s="4"/>
      <c r="AC543" s="4"/>
      <c r="AD543" s="4"/>
    </row>
    <row r="544" spans="1:30" ht="15.75" customHeight="1" x14ac:dyDescent="0.2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6"/>
      <c r="AA544" s="6"/>
      <c r="AB544" s="4"/>
      <c r="AC544" s="4"/>
      <c r="AD544" s="4"/>
    </row>
    <row r="545" spans="1:30" ht="15.75" customHeight="1" x14ac:dyDescent="0.2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6"/>
      <c r="AA545" s="6"/>
      <c r="AB545" s="4"/>
      <c r="AC545" s="4"/>
      <c r="AD545" s="4"/>
    </row>
    <row r="546" spans="1:30" ht="15.75" customHeight="1" x14ac:dyDescent="0.2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6"/>
      <c r="AA546" s="6"/>
      <c r="AB546" s="4"/>
      <c r="AC546" s="4"/>
      <c r="AD546" s="4"/>
    </row>
    <row r="547" spans="1:30" ht="15.75" customHeight="1" x14ac:dyDescent="0.2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6"/>
      <c r="AA547" s="6"/>
      <c r="AB547" s="4"/>
      <c r="AC547" s="4"/>
      <c r="AD547" s="4"/>
    </row>
    <row r="548" spans="1:30" ht="15.75" customHeight="1" x14ac:dyDescent="0.2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6"/>
      <c r="AA548" s="6"/>
      <c r="AB548" s="4"/>
      <c r="AC548" s="4"/>
      <c r="AD548" s="4"/>
    </row>
    <row r="549" spans="1:30" ht="15.75" customHeight="1" x14ac:dyDescent="0.2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6"/>
      <c r="AA549" s="6"/>
      <c r="AB549" s="4"/>
      <c r="AC549" s="4"/>
      <c r="AD549" s="4"/>
    </row>
    <row r="550" spans="1:30" ht="15.75" customHeight="1" x14ac:dyDescent="0.2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6"/>
      <c r="AA550" s="6"/>
      <c r="AB550" s="4"/>
      <c r="AC550" s="4"/>
      <c r="AD550" s="4"/>
    </row>
    <row r="551" spans="1:30" ht="15.75" customHeight="1" x14ac:dyDescent="0.2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6"/>
      <c r="AA551" s="6"/>
      <c r="AB551" s="4"/>
      <c r="AC551" s="4"/>
      <c r="AD551" s="4"/>
    </row>
    <row r="552" spans="1:30" ht="15.75" customHeight="1" x14ac:dyDescent="0.2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6"/>
      <c r="AA552" s="6"/>
      <c r="AB552" s="4"/>
      <c r="AC552" s="4"/>
      <c r="AD552" s="4"/>
    </row>
    <row r="553" spans="1:30" ht="15.75" customHeight="1" x14ac:dyDescent="0.2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6"/>
      <c r="AA553" s="6"/>
      <c r="AB553" s="4"/>
      <c r="AC553" s="4"/>
      <c r="AD553" s="4"/>
    </row>
    <row r="554" spans="1:30" ht="15.75" customHeight="1" x14ac:dyDescent="0.2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6"/>
      <c r="AA554" s="6"/>
      <c r="AB554" s="4"/>
      <c r="AC554" s="4"/>
      <c r="AD554" s="4"/>
    </row>
    <row r="555" spans="1:30" ht="15.75" customHeight="1" x14ac:dyDescent="0.2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6"/>
      <c r="AA555" s="6"/>
      <c r="AB555" s="4"/>
      <c r="AC555" s="4"/>
      <c r="AD555" s="4"/>
    </row>
    <row r="556" spans="1:30" ht="15.75" customHeight="1" x14ac:dyDescent="0.2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6"/>
      <c r="AA556" s="6"/>
      <c r="AB556" s="4"/>
      <c r="AC556" s="4"/>
      <c r="AD556" s="4"/>
    </row>
    <row r="557" spans="1:30" ht="15.75" customHeight="1" x14ac:dyDescent="0.2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6"/>
      <c r="AA557" s="6"/>
      <c r="AB557" s="4"/>
      <c r="AC557" s="4"/>
      <c r="AD557" s="4"/>
    </row>
    <row r="558" spans="1:30" ht="15.75" customHeight="1" x14ac:dyDescent="0.2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6"/>
      <c r="AA558" s="6"/>
      <c r="AB558" s="4"/>
      <c r="AC558" s="4"/>
      <c r="AD558" s="4"/>
    </row>
    <row r="559" spans="1:30" ht="15.75" customHeight="1" x14ac:dyDescent="0.2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6"/>
      <c r="AA559" s="6"/>
      <c r="AB559" s="4"/>
      <c r="AC559" s="4"/>
      <c r="AD559" s="4"/>
    </row>
    <row r="560" spans="1:30" ht="15.75" customHeight="1" x14ac:dyDescent="0.2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6"/>
      <c r="AA560" s="6"/>
      <c r="AB560" s="4"/>
      <c r="AC560" s="4"/>
      <c r="AD560" s="4"/>
    </row>
    <row r="561" spans="1:30" ht="15.75" customHeight="1" x14ac:dyDescent="0.2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6"/>
      <c r="AA561" s="6"/>
      <c r="AB561" s="4"/>
      <c r="AC561" s="4"/>
      <c r="AD561" s="4"/>
    </row>
    <row r="562" spans="1:30" ht="15.75" customHeight="1" x14ac:dyDescent="0.2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6"/>
      <c r="AA562" s="6"/>
      <c r="AB562" s="4"/>
      <c r="AC562" s="4"/>
      <c r="AD562" s="4"/>
    </row>
    <row r="563" spans="1:30" ht="15.75" customHeight="1" x14ac:dyDescent="0.2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6"/>
      <c r="AA563" s="6"/>
      <c r="AB563" s="4"/>
      <c r="AC563" s="4"/>
      <c r="AD563" s="4"/>
    </row>
    <row r="564" spans="1:30" ht="15.75" customHeight="1" x14ac:dyDescent="0.2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6"/>
      <c r="AA564" s="6"/>
      <c r="AB564" s="4"/>
      <c r="AC564" s="4"/>
      <c r="AD564" s="4"/>
    </row>
    <row r="565" spans="1:30" ht="15.75" customHeight="1" x14ac:dyDescent="0.2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6"/>
      <c r="AA565" s="6"/>
      <c r="AB565" s="4"/>
      <c r="AC565" s="4"/>
      <c r="AD565" s="4"/>
    </row>
    <row r="566" spans="1:30" ht="15.75" customHeight="1" x14ac:dyDescent="0.2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6"/>
      <c r="AA566" s="6"/>
      <c r="AB566" s="4"/>
      <c r="AC566" s="4"/>
      <c r="AD566" s="4"/>
    </row>
    <row r="567" spans="1:30" ht="15.75" customHeight="1" x14ac:dyDescent="0.2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6"/>
      <c r="AA567" s="6"/>
      <c r="AB567" s="4"/>
      <c r="AC567" s="4"/>
      <c r="AD567" s="4"/>
    </row>
    <row r="568" spans="1:30" ht="15.75" customHeight="1" x14ac:dyDescent="0.2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6"/>
      <c r="AA568" s="6"/>
      <c r="AB568" s="4"/>
      <c r="AC568" s="4"/>
      <c r="AD568" s="4"/>
    </row>
    <row r="569" spans="1:30" ht="15.75" customHeight="1" x14ac:dyDescent="0.2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6"/>
      <c r="AA569" s="6"/>
      <c r="AB569" s="4"/>
      <c r="AC569" s="4"/>
      <c r="AD569" s="4"/>
    </row>
    <row r="570" spans="1:30" ht="15.75" customHeight="1" x14ac:dyDescent="0.2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6"/>
      <c r="AA570" s="6"/>
      <c r="AB570" s="4"/>
      <c r="AC570" s="4"/>
      <c r="AD570" s="4"/>
    </row>
    <row r="571" spans="1:30" ht="15.75" customHeight="1" x14ac:dyDescent="0.2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6"/>
      <c r="AA571" s="6"/>
      <c r="AB571" s="4"/>
      <c r="AC571" s="4"/>
      <c r="AD571" s="4"/>
    </row>
    <row r="572" spans="1:30" ht="15.75" customHeight="1" x14ac:dyDescent="0.2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6"/>
      <c r="AA572" s="6"/>
      <c r="AB572" s="4"/>
      <c r="AC572" s="4"/>
      <c r="AD572" s="4"/>
    </row>
    <row r="573" spans="1:30" ht="15.75" customHeight="1" x14ac:dyDescent="0.2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6"/>
      <c r="AA573" s="6"/>
      <c r="AB573" s="4"/>
      <c r="AC573" s="4"/>
      <c r="AD573" s="4"/>
    </row>
    <row r="574" spans="1:30" ht="15.75" customHeight="1" x14ac:dyDescent="0.2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6"/>
      <c r="AA574" s="6"/>
      <c r="AB574" s="4"/>
      <c r="AC574" s="4"/>
      <c r="AD574" s="4"/>
    </row>
    <row r="575" spans="1:30" ht="15.75" customHeight="1" x14ac:dyDescent="0.2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6"/>
      <c r="AA575" s="6"/>
      <c r="AB575" s="4"/>
      <c r="AC575" s="4"/>
      <c r="AD575" s="4"/>
    </row>
    <row r="576" spans="1:30" ht="15.75" customHeight="1" x14ac:dyDescent="0.2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6"/>
      <c r="AA576" s="6"/>
      <c r="AB576" s="4"/>
      <c r="AC576" s="4"/>
      <c r="AD576" s="4"/>
    </row>
    <row r="577" spans="1:30" ht="15.75" customHeight="1" x14ac:dyDescent="0.2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6"/>
      <c r="AA577" s="6"/>
      <c r="AB577" s="4"/>
      <c r="AC577" s="4"/>
      <c r="AD577" s="4"/>
    </row>
    <row r="578" spans="1:30" ht="15.75" customHeight="1" x14ac:dyDescent="0.2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6"/>
      <c r="AA578" s="6"/>
      <c r="AB578" s="4"/>
      <c r="AC578" s="4"/>
      <c r="AD578" s="4"/>
    </row>
    <row r="579" spans="1:30" ht="15.75" customHeight="1" x14ac:dyDescent="0.2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6"/>
      <c r="AA579" s="6"/>
      <c r="AB579" s="4"/>
      <c r="AC579" s="4"/>
      <c r="AD579" s="4"/>
    </row>
    <row r="580" spans="1:30" ht="15.75" customHeight="1" x14ac:dyDescent="0.2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6"/>
      <c r="AA580" s="6"/>
      <c r="AB580" s="4"/>
      <c r="AC580" s="4"/>
      <c r="AD580" s="4"/>
    </row>
    <row r="581" spans="1:30" ht="15.75" customHeight="1" x14ac:dyDescent="0.2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6"/>
      <c r="AA581" s="6"/>
      <c r="AB581" s="4"/>
      <c r="AC581" s="4"/>
      <c r="AD581" s="4"/>
    </row>
    <row r="582" spans="1:30" ht="15.75" customHeight="1" x14ac:dyDescent="0.2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6"/>
      <c r="AA582" s="6"/>
      <c r="AB582" s="4"/>
      <c r="AC582" s="4"/>
      <c r="AD582" s="4"/>
    </row>
    <row r="583" spans="1:30" ht="15.75" customHeight="1" x14ac:dyDescent="0.2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6"/>
      <c r="AA583" s="6"/>
      <c r="AB583" s="4"/>
      <c r="AC583" s="4"/>
      <c r="AD583" s="4"/>
    </row>
    <row r="584" spans="1:30" ht="15.75" customHeight="1" x14ac:dyDescent="0.2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6"/>
      <c r="AA584" s="6"/>
      <c r="AB584" s="4"/>
      <c r="AC584" s="4"/>
      <c r="AD584" s="4"/>
    </row>
    <row r="585" spans="1:30" ht="15.75" customHeight="1" x14ac:dyDescent="0.2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6"/>
      <c r="AA585" s="6"/>
      <c r="AB585" s="4"/>
      <c r="AC585" s="4"/>
      <c r="AD585" s="4"/>
    </row>
    <row r="586" spans="1:30" ht="15.75" customHeight="1" x14ac:dyDescent="0.2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6"/>
      <c r="AA586" s="6"/>
      <c r="AB586" s="4"/>
      <c r="AC586" s="4"/>
      <c r="AD586" s="4"/>
    </row>
    <row r="587" spans="1:30" ht="15.75" customHeight="1" x14ac:dyDescent="0.2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6"/>
      <c r="AA587" s="6"/>
      <c r="AB587" s="4"/>
      <c r="AC587" s="4"/>
      <c r="AD587" s="4"/>
    </row>
    <row r="588" spans="1:30" ht="15.75" customHeight="1" x14ac:dyDescent="0.2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6"/>
      <c r="AA588" s="6"/>
      <c r="AB588" s="4"/>
      <c r="AC588" s="4"/>
      <c r="AD588" s="4"/>
    </row>
    <row r="589" spans="1:30" ht="15.75" customHeight="1" x14ac:dyDescent="0.2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6"/>
      <c r="AA589" s="6"/>
      <c r="AB589" s="4"/>
      <c r="AC589" s="4"/>
      <c r="AD589" s="4"/>
    </row>
    <row r="590" spans="1:30" ht="15.75" customHeight="1" x14ac:dyDescent="0.2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6"/>
      <c r="AA590" s="6"/>
      <c r="AB590" s="4"/>
      <c r="AC590" s="4"/>
      <c r="AD590" s="4"/>
    </row>
    <row r="591" spans="1:30" ht="15.75" customHeight="1" x14ac:dyDescent="0.2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6"/>
      <c r="AA591" s="6"/>
      <c r="AB591" s="4"/>
      <c r="AC591" s="4"/>
      <c r="AD591" s="4"/>
    </row>
    <row r="592" spans="1:30" ht="15.75" customHeight="1" x14ac:dyDescent="0.2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6"/>
      <c r="AA592" s="6"/>
      <c r="AB592" s="4"/>
      <c r="AC592" s="4"/>
      <c r="AD592" s="4"/>
    </row>
    <row r="593" spans="1:30" ht="15.75" customHeight="1" x14ac:dyDescent="0.2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6"/>
      <c r="AA593" s="6"/>
      <c r="AB593" s="4"/>
      <c r="AC593" s="4"/>
      <c r="AD593" s="4"/>
    </row>
    <row r="594" spans="1:30" ht="15.75" customHeight="1" x14ac:dyDescent="0.2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6"/>
      <c r="AA594" s="6"/>
      <c r="AB594" s="4"/>
      <c r="AC594" s="4"/>
      <c r="AD594" s="4"/>
    </row>
    <row r="595" spans="1:30" ht="15.75" customHeight="1" x14ac:dyDescent="0.2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6"/>
      <c r="AA595" s="6"/>
      <c r="AB595" s="4"/>
      <c r="AC595" s="4"/>
      <c r="AD595" s="4"/>
    </row>
    <row r="596" spans="1:30" ht="15.75" customHeight="1" x14ac:dyDescent="0.2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6"/>
      <c r="AA596" s="6"/>
      <c r="AB596" s="4"/>
      <c r="AC596" s="4"/>
      <c r="AD596" s="4"/>
    </row>
    <row r="597" spans="1:30" ht="15.75" customHeight="1" x14ac:dyDescent="0.2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6"/>
      <c r="AA597" s="6"/>
      <c r="AB597" s="4"/>
      <c r="AC597" s="4"/>
      <c r="AD597" s="4"/>
    </row>
    <row r="598" spans="1:30" ht="15.75" customHeight="1" x14ac:dyDescent="0.2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6"/>
      <c r="AA598" s="6"/>
      <c r="AB598" s="4"/>
      <c r="AC598" s="4"/>
      <c r="AD598" s="4"/>
    </row>
    <row r="599" spans="1:30" ht="15.75" customHeight="1" x14ac:dyDescent="0.2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6"/>
      <c r="AA599" s="6"/>
      <c r="AB599" s="4"/>
      <c r="AC599" s="4"/>
      <c r="AD599" s="4"/>
    </row>
    <row r="600" spans="1:30" ht="15.75" customHeight="1" x14ac:dyDescent="0.2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6"/>
      <c r="AA600" s="6"/>
      <c r="AB600" s="4"/>
      <c r="AC600" s="4"/>
      <c r="AD600" s="4"/>
    </row>
    <row r="601" spans="1:30" ht="15.75" customHeight="1" x14ac:dyDescent="0.2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6"/>
      <c r="AA601" s="6"/>
      <c r="AB601" s="4"/>
      <c r="AC601" s="4"/>
      <c r="AD601" s="4"/>
    </row>
    <row r="602" spans="1:30" ht="15.75" customHeight="1" x14ac:dyDescent="0.2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6"/>
      <c r="AA602" s="6"/>
      <c r="AB602" s="4"/>
      <c r="AC602" s="4"/>
      <c r="AD602" s="4"/>
    </row>
    <row r="603" spans="1:30" ht="15.75" customHeight="1" x14ac:dyDescent="0.2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6"/>
      <c r="AA603" s="6"/>
      <c r="AB603" s="4"/>
      <c r="AC603" s="4"/>
      <c r="AD603" s="4"/>
    </row>
    <row r="604" spans="1:30" ht="15.75" customHeight="1" x14ac:dyDescent="0.2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6"/>
      <c r="AA604" s="6"/>
      <c r="AB604" s="4"/>
      <c r="AC604" s="4"/>
      <c r="AD604" s="4"/>
    </row>
    <row r="605" spans="1:30" ht="15.75" customHeight="1" x14ac:dyDescent="0.2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6"/>
      <c r="AA605" s="6"/>
      <c r="AB605" s="4"/>
      <c r="AC605" s="4"/>
      <c r="AD605" s="4"/>
    </row>
    <row r="606" spans="1:30" ht="15.75" customHeight="1" x14ac:dyDescent="0.2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6"/>
      <c r="AA606" s="6"/>
      <c r="AB606" s="4"/>
      <c r="AC606" s="4"/>
      <c r="AD606" s="4"/>
    </row>
    <row r="607" spans="1:30" ht="15.75" customHeight="1" x14ac:dyDescent="0.2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6"/>
      <c r="AA607" s="6"/>
      <c r="AB607" s="4"/>
      <c r="AC607" s="4"/>
      <c r="AD607" s="4"/>
    </row>
    <row r="608" spans="1:30" ht="15.75" customHeight="1" x14ac:dyDescent="0.2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6"/>
      <c r="AA608" s="6"/>
      <c r="AB608" s="4"/>
      <c r="AC608" s="4"/>
      <c r="AD608" s="4"/>
    </row>
    <row r="609" spans="1:30" ht="15.75" customHeight="1" x14ac:dyDescent="0.2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6"/>
      <c r="AA609" s="6"/>
      <c r="AB609" s="4"/>
      <c r="AC609" s="4"/>
      <c r="AD609" s="4"/>
    </row>
    <row r="610" spans="1:30" ht="15.75" customHeight="1" x14ac:dyDescent="0.2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6"/>
      <c r="AA610" s="6"/>
      <c r="AB610" s="4"/>
      <c r="AC610" s="4"/>
      <c r="AD610" s="4"/>
    </row>
    <row r="611" spans="1:30" ht="15.75" customHeight="1" x14ac:dyDescent="0.2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6"/>
      <c r="AA611" s="6"/>
      <c r="AB611" s="4"/>
      <c r="AC611" s="4"/>
      <c r="AD611" s="4"/>
    </row>
    <row r="612" spans="1:30" ht="15.75" customHeight="1" x14ac:dyDescent="0.2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6"/>
      <c r="AA612" s="6"/>
      <c r="AB612" s="4"/>
      <c r="AC612" s="4"/>
      <c r="AD612" s="4"/>
    </row>
    <row r="613" spans="1:30" ht="15.75" customHeight="1" x14ac:dyDescent="0.2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6"/>
      <c r="AA613" s="6"/>
      <c r="AB613" s="4"/>
      <c r="AC613" s="4"/>
      <c r="AD613" s="4"/>
    </row>
    <row r="614" spans="1:30" ht="15.75" customHeight="1" x14ac:dyDescent="0.2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6"/>
      <c r="AA614" s="6"/>
      <c r="AB614" s="4"/>
      <c r="AC614" s="4"/>
      <c r="AD614" s="4"/>
    </row>
    <row r="615" spans="1:30" ht="15.75" customHeight="1" x14ac:dyDescent="0.2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6"/>
      <c r="AA615" s="6"/>
      <c r="AB615" s="4"/>
      <c r="AC615" s="4"/>
      <c r="AD615" s="4"/>
    </row>
    <row r="616" spans="1:30" ht="15.75" customHeight="1" x14ac:dyDescent="0.2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6"/>
      <c r="AA616" s="6"/>
      <c r="AB616" s="4"/>
      <c r="AC616" s="4"/>
      <c r="AD616" s="4"/>
    </row>
    <row r="617" spans="1:30" ht="15.75" customHeight="1" x14ac:dyDescent="0.2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6"/>
      <c r="AA617" s="6"/>
      <c r="AB617" s="4"/>
      <c r="AC617" s="4"/>
      <c r="AD617" s="4"/>
    </row>
    <row r="618" spans="1:30" ht="15.75" customHeight="1" x14ac:dyDescent="0.2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6"/>
      <c r="AA618" s="6"/>
      <c r="AB618" s="4"/>
      <c r="AC618" s="4"/>
      <c r="AD618" s="4"/>
    </row>
    <row r="619" spans="1:30" ht="15.75" customHeight="1" x14ac:dyDescent="0.2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6"/>
      <c r="AA619" s="6"/>
      <c r="AB619" s="4"/>
      <c r="AC619" s="4"/>
      <c r="AD619" s="4"/>
    </row>
    <row r="620" spans="1:30" ht="15.75" customHeight="1" x14ac:dyDescent="0.2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6"/>
      <c r="AA620" s="6"/>
      <c r="AB620" s="4"/>
      <c r="AC620" s="4"/>
      <c r="AD620" s="4"/>
    </row>
    <row r="621" spans="1:30" ht="15.75" customHeight="1" x14ac:dyDescent="0.2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6"/>
      <c r="AA621" s="6"/>
      <c r="AB621" s="4"/>
      <c r="AC621" s="4"/>
      <c r="AD621" s="4"/>
    </row>
    <row r="622" spans="1:30" ht="15.75" customHeight="1" x14ac:dyDescent="0.2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6"/>
      <c r="AA622" s="6"/>
      <c r="AB622" s="4"/>
      <c r="AC622" s="4"/>
      <c r="AD622" s="4"/>
    </row>
    <row r="623" spans="1:30" ht="15.75" customHeight="1" x14ac:dyDescent="0.2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6"/>
      <c r="AA623" s="6"/>
      <c r="AB623" s="4"/>
      <c r="AC623" s="4"/>
      <c r="AD623" s="4"/>
    </row>
    <row r="624" spans="1:30" ht="15.75" customHeight="1" x14ac:dyDescent="0.2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6"/>
      <c r="AA624" s="6"/>
      <c r="AB624" s="4"/>
      <c r="AC624" s="4"/>
      <c r="AD624" s="4"/>
    </row>
    <row r="625" spans="1:30" ht="15.75" customHeight="1" x14ac:dyDescent="0.2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6"/>
      <c r="AA625" s="6"/>
      <c r="AB625" s="4"/>
      <c r="AC625" s="4"/>
      <c r="AD625" s="4"/>
    </row>
    <row r="626" spans="1:30" ht="15.75" customHeight="1" x14ac:dyDescent="0.2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6"/>
      <c r="AA626" s="6"/>
      <c r="AB626" s="4"/>
      <c r="AC626" s="4"/>
      <c r="AD626" s="4"/>
    </row>
    <row r="627" spans="1:30" ht="15.75" customHeight="1" x14ac:dyDescent="0.2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6"/>
      <c r="AA627" s="6"/>
      <c r="AB627" s="4"/>
      <c r="AC627" s="4"/>
      <c r="AD627" s="4"/>
    </row>
    <row r="628" spans="1:30" ht="15.75" customHeight="1" x14ac:dyDescent="0.2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6"/>
      <c r="AA628" s="6"/>
      <c r="AB628" s="4"/>
      <c r="AC628" s="4"/>
      <c r="AD628" s="4"/>
    </row>
    <row r="629" spans="1:30" ht="15.75" customHeight="1" x14ac:dyDescent="0.2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6"/>
      <c r="AA629" s="6"/>
      <c r="AB629" s="4"/>
      <c r="AC629" s="4"/>
      <c r="AD629" s="4"/>
    </row>
    <row r="630" spans="1:30" ht="15.75" customHeight="1" x14ac:dyDescent="0.2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6"/>
      <c r="AA630" s="6"/>
      <c r="AB630" s="4"/>
      <c r="AC630" s="4"/>
      <c r="AD630" s="4"/>
    </row>
    <row r="631" spans="1:30" ht="15.75" customHeight="1" x14ac:dyDescent="0.2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6"/>
      <c r="AA631" s="6"/>
      <c r="AB631" s="4"/>
      <c r="AC631" s="4"/>
      <c r="AD631" s="4"/>
    </row>
    <row r="632" spans="1:30" ht="15.75" customHeight="1" x14ac:dyDescent="0.2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6"/>
      <c r="AA632" s="6"/>
      <c r="AB632" s="4"/>
      <c r="AC632" s="4"/>
      <c r="AD632" s="4"/>
    </row>
    <row r="633" spans="1:30" ht="15.75" customHeight="1" x14ac:dyDescent="0.2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6"/>
      <c r="AA633" s="6"/>
      <c r="AB633" s="4"/>
      <c r="AC633" s="4"/>
      <c r="AD633" s="4"/>
    </row>
    <row r="634" spans="1:30" ht="15.75" customHeight="1" x14ac:dyDescent="0.2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6"/>
      <c r="AA634" s="6"/>
      <c r="AB634" s="4"/>
      <c r="AC634" s="4"/>
      <c r="AD634" s="4"/>
    </row>
    <row r="635" spans="1:30" ht="15.75" customHeight="1" x14ac:dyDescent="0.2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6"/>
      <c r="AA635" s="6"/>
      <c r="AB635" s="4"/>
      <c r="AC635" s="4"/>
      <c r="AD635" s="4"/>
    </row>
    <row r="636" spans="1:30" ht="15.75" customHeight="1" x14ac:dyDescent="0.2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6"/>
      <c r="AA636" s="6"/>
      <c r="AB636" s="4"/>
      <c r="AC636" s="4"/>
      <c r="AD636" s="4"/>
    </row>
    <row r="637" spans="1:30" ht="15.75" customHeight="1" x14ac:dyDescent="0.2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6"/>
      <c r="AA637" s="6"/>
      <c r="AB637" s="4"/>
      <c r="AC637" s="4"/>
      <c r="AD637" s="4"/>
    </row>
    <row r="638" spans="1:30" ht="15.75" customHeight="1" x14ac:dyDescent="0.2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6"/>
      <c r="AA638" s="6"/>
      <c r="AB638" s="4"/>
      <c r="AC638" s="4"/>
      <c r="AD638" s="4"/>
    </row>
    <row r="639" spans="1:30" ht="15.75" customHeight="1" x14ac:dyDescent="0.2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6"/>
      <c r="AA639" s="6"/>
      <c r="AB639" s="4"/>
      <c r="AC639" s="4"/>
      <c r="AD639" s="4"/>
    </row>
    <row r="640" spans="1:30" ht="15.75" customHeight="1" x14ac:dyDescent="0.2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6"/>
      <c r="AA640" s="6"/>
      <c r="AB640" s="4"/>
      <c r="AC640" s="4"/>
      <c r="AD640" s="4"/>
    </row>
    <row r="641" spans="1:30" ht="15.75" customHeight="1" x14ac:dyDescent="0.2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6"/>
      <c r="AA641" s="6"/>
      <c r="AB641" s="4"/>
      <c r="AC641" s="4"/>
      <c r="AD641" s="4"/>
    </row>
    <row r="642" spans="1:30" ht="15.75" customHeight="1" x14ac:dyDescent="0.2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6"/>
      <c r="AA642" s="6"/>
      <c r="AB642" s="4"/>
      <c r="AC642" s="4"/>
      <c r="AD642" s="4"/>
    </row>
    <row r="643" spans="1:30" ht="15.75" customHeight="1" x14ac:dyDescent="0.2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6"/>
      <c r="AA643" s="6"/>
      <c r="AB643" s="4"/>
      <c r="AC643" s="4"/>
      <c r="AD643" s="4"/>
    </row>
    <row r="644" spans="1:30" ht="15.75" customHeight="1" x14ac:dyDescent="0.2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6"/>
      <c r="AA644" s="6"/>
      <c r="AB644" s="4"/>
      <c r="AC644" s="4"/>
      <c r="AD644" s="4"/>
    </row>
    <row r="645" spans="1:30" ht="15.75" customHeight="1" x14ac:dyDescent="0.2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6"/>
      <c r="AA645" s="6"/>
      <c r="AB645" s="4"/>
      <c r="AC645" s="4"/>
      <c r="AD645" s="4"/>
    </row>
    <row r="646" spans="1:30" ht="15.75" customHeight="1" x14ac:dyDescent="0.2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6"/>
      <c r="AA646" s="6"/>
      <c r="AB646" s="4"/>
      <c r="AC646" s="4"/>
      <c r="AD646" s="4"/>
    </row>
    <row r="647" spans="1:30" ht="15.75" customHeight="1" x14ac:dyDescent="0.2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6"/>
      <c r="AA647" s="6"/>
      <c r="AB647" s="4"/>
      <c r="AC647" s="4"/>
      <c r="AD647" s="4"/>
    </row>
    <row r="648" spans="1:30" ht="15.75" customHeight="1" x14ac:dyDescent="0.2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6"/>
      <c r="AA648" s="6"/>
      <c r="AB648" s="4"/>
      <c r="AC648" s="4"/>
      <c r="AD648" s="4"/>
    </row>
    <row r="649" spans="1:30" ht="15.75" customHeight="1" x14ac:dyDescent="0.2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6"/>
      <c r="AA649" s="6"/>
      <c r="AB649" s="4"/>
      <c r="AC649" s="4"/>
      <c r="AD649" s="4"/>
    </row>
    <row r="650" spans="1:30" ht="15.75" customHeight="1" x14ac:dyDescent="0.2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6"/>
      <c r="AA650" s="6"/>
      <c r="AB650" s="4"/>
      <c r="AC650" s="4"/>
      <c r="AD650" s="4"/>
    </row>
    <row r="651" spans="1:30" ht="15.75" customHeight="1" x14ac:dyDescent="0.2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6"/>
      <c r="AA651" s="6"/>
      <c r="AB651" s="4"/>
      <c r="AC651" s="4"/>
      <c r="AD651" s="4"/>
    </row>
    <row r="652" spans="1:30" ht="15.75" customHeight="1" x14ac:dyDescent="0.2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6"/>
      <c r="AA652" s="6"/>
      <c r="AB652" s="4"/>
      <c r="AC652" s="4"/>
      <c r="AD652" s="4"/>
    </row>
    <row r="653" spans="1:30" ht="15.75" customHeight="1" x14ac:dyDescent="0.2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6"/>
      <c r="AA653" s="6"/>
      <c r="AB653" s="4"/>
      <c r="AC653" s="4"/>
      <c r="AD653" s="4"/>
    </row>
    <row r="654" spans="1:30" ht="15.75" customHeight="1" x14ac:dyDescent="0.2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6"/>
      <c r="AA654" s="6"/>
      <c r="AB654" s="4"/>
      <c r="AC654" s="4"/>
      <c r="AD654" s="4"/>
    </row>
    <row r="655" spans="1:30" ht="15.75" customHeight="1" x14ac:dyDescent="0.2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6"/>
      <c r="AA655" s="6"/>
      <c r="AB655" s="4"/>
      <c r="AC655" s="4"/>
      <c r="AD655" s="4"/>
    </row>
    <row r="656" spans="1:30" ht="15.75" customHeight="1" x14ac:dyDescent="0.2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6"/>
      <c r="AA656" s="6"/>
      <c r="AB656" s="4"/>
      <c r="AC656" s="4"/>
      <c r="AD656" s="4"/>
    </row>
    <row r="657" spans="1:30" ht="15.75" customHeight="1" x14ac:dyDescent="0.2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6"/>
      <c r="AA657" s="6"/>
      <c r="AB657" s="4"/>
      <c r="AC657" s="4"/>
      <c r="AD657" s="4"/>
    </row>
    <row r="658" spans="1:30" ht="15.75" customHeight="1" x14ac:dyDescent="0.2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6"/>
      <c r="AA658" s="6"/>
      <c r="AB658" s="4"/>
      <c r="AC658" s="4"/>
      <c r="AD658" s="4"/>
    </row>
    <row r="659" spans="1:30" ht="15.75" customHeight="1" x14ac:dyDescent="0.2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6"/>
      <c r="AA659" s="6"/>
      <c r="AB659" s="4"/>
      <c r="AC659" s="4"/>
      <c r="AD659" s="4"/>
    </row>
    <row r="660" spans="1:30" ht="15.75" customHeight="1" x14ac:dyDescent="0.2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6"/>
      <c r="AA660" s="6"/>
      <c r="AB660" s="4"/>
      <c r="AC660" s="4"/>
      <c r="AD660" s="4"/>
    </row>
    <row r="661" spans="1:30" ht="15.75" customHeight="1" x14ac:dyDescent="0.2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6"/>
      <c r="AA661" s="6"/>
      <c r="AB661" s="4"/>
      <c r="AC661" s="4"/>
      <c r="AD661" s="4"/>
    </row>
    <row r="662" spans="1:30" ht="15.75" customHeight="1" x14ac:dyDescent="0.2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6"/>
      <c r="AA662" s="6"/>
      <c r="AB662" s="4"/>
      <c r="AC662" s="4"/>
      <c r="AD662" s="4"/>
    </row>
    <row r="663" spans="1:30" ht="15.75" customHeight="1" x14ac:dyDescent="0.2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6"/>
      <c r="AA663" s="6"/>
      <c r="AB663" s="4"/>
      <c r="AC663" s="4"/>
      <c r="AD663" s="4"/>
    </row>
    <row r="664" spans="1:30" ht="15.75" customHeight="1" x14ac:dyDescent="0.2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6"/>
      <c r="AA664" s="6"/>
      <c r="AB664" s="4"/>
      <c r="AC664" s="4"/>
      <c r="AD664" s="4"/>
    </row>
    <row r="665" spans="1:30" ht="15.75" customHeight="1" x14ac:dyDescent="0.2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6"/>
      <c r="AA665" s="6"/>
      <c r="AB665" s="4"/>
      <c r="AC665" s="4"/>
      <c r="AD665" s="4"/>
    </row>
    <row r="666" spans="1:30" ht="15.75" customHeight="1" x14ac:dyDescent="0.2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6"/>
      <c r="AA666" s="6"/>
      <c r="AB666" s="4"/>
      <c r="AC666" s="4"/>
      <c r="AD666" s="4"/>
    </row>
    <row r="667" spans="1:30" ht="15.75" customHeight="1" x14ac:dyDescent="0.2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6"/>
      <c r="AA667" s="6"/>
      <c r="AB667" s="4"/>
      <c r="AC667" s="4"/>
      <c r="AD667" s="4"/>
    </row>
    <row r="668" spans="1:30" ht="15.75" customHeight="1" x14ac:dyDescent="0.2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6"/>
      <c r="AA668" s="6"/>
      <c r="AB668" s="4"/>
      <c r="AC668" s="4"/>
      <c r="AD668" s="4"/>
    </row>
    <row r="669" spans="1:30" ht="15.75" customHeight="1" x14ac:dyDescent="0.2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6"/>
      <c r="AA669" s="6"/>
      <c r="AB669" s="4"/>
      <c r="AC669" s="4"/>
      <c r="AD669" s="4"/>
    </row>
    <row r="670" spans="1:30" ht="15.75" customHeight="1" x14ac:dyDescent="0.2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6"/>
      <c r="AA670" s="6"/>
      <c r="AB670" s="4"/>
      <c r="AC670" s="4"/>
      <c r="AD670" s="4"/>
    </row>
    <row r="671" spans="1:30" ht="15.75" customHeight="1" x14ac:dyDescent="0.2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6"/>
      <c r="AA671" s="6"/>
      <c r="AB671" s="4"/>
      <c r="AC671" s="4"/>
      <c r="AD671" s="4"/>
    </row>
    <row r="672" spans="1:30" ht="15.75" customHeight="1" x14ac:dyDescent="0.2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6"/>
      <c r="AA672" s="6"/>
      <c r="AB672" s="4"/>
      <c r="AC672" s="4"/>
      <c r="AD672" s="4"/>
    </row>
    <row r="673" spans="1:30" ht="15.75" customHeight="1" x14ac:dyDescent="0.2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6"/>
      <c r="AA673" s="6"/>
      <c r="AB673" s="4"/>
      <c r="AC673" s="4"/>
      <c r="AD673" s="4"/>
    </row>
    <row r="674" spans="1:30" ht="15.75" customHeight="1" x14ac:dyDescent="0.2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6"/>
      <c r="AA674" s="6"/>
      <c r="AB674" s="4"/>
      <c r="AC674" s="4"/>
      <c r="AD674" s="4"/>
    </row>
    <row r="675" spans="1:30" ht="15.75" customHeight="1" x14ac:dyDescent="0.2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6"/>
      <c r="AA675" s="6"/>
      <c r="AB675" s="4"/>
      <c r="AC675" s="4"/>
      <c r="AD675" s="4"/>
    </row>
    <row r="676" spans="1:30" ht="15.75" customHeight="1" x14ac:dyDescent="0.2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6"/>
      <c r="AA676" s="6"/>
      <c r="AB676" s="4"/>
      <c r="AC676" s="4"/>
      <c r="AD676" s="4"/>
    </row>
    <row r="677" spans="1:30" ht="15.75" customHeight="1" x14ac:dyDescent="0.2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6"/>
      <c r="AA677" s="6"/>
      <c r="AB677" s="4"/>
      <c r="AC677" s="4"/>
      <c r="AD677" s="4"/>
    </row>
    <row r="678" spans="1:30" ht="15.75" customHeight="1" x14ac:dyDescent="0.2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6"/>
      <c r="AA678" s="6"/>
      <c r="AB678" s="4"/>
      <c r="AC678" s="4"/>
      <c r="AD678" s="4"/>
    </row>
    <row r="679" spans="1:30" ht="15.75" customHeight="1" x14ac:dyDescent="0.2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6"/>
      <c r="AA679" s="6"/>
      <c r="AB679" s="4"/>
      <c r="AC679" s="4"/>
      <c r="AD679" s="4"/>
    </row>
    <row r="680" spans="1:30" ht="15.75" customHeight="1" x14ac:dyDescent="0.2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6"/>
      <c r="AA680" s="6"/>
      <c r="AB680" s="4"/>
      <c r="AC680" s="4"/>
      <c r="AD680" s="4"/>
    </row>
    <row r="681" spans="1:30" ht="15.75" customHeight="1" x14ac:dyDescent="0.2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6"/>
      <c r="AA681" s="6"/>
      <c r="AB681" s="4"/>
      <c r="AC681" s="4"/>
      <c r="AD681" s="4"/>
    </row>
    <row r="682" spans="1:30" ht="15.75" customHeight="1" x14ac:dyDescent="0.2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6"/>
      <c r="AA682" s="6"/>
      <c r="AB682" s="4"/>
      <c r="AC682" s="4"/>
      <c r="AD682" s="4"/>
    </row>
    <row r="683" spans="1:30" ht="15.75" customHeight="1" x14ac:dyDescent="0.2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6"/>
      <c r="AA683" s="6"/>
      <c r="AB683" s="4"/>
      <c r="AC683" s="4"/>
      <c r="AD683" s="4"/>
    </row>
    <row r="684" spans="1:30" ht="15.75" customHeight="1" x14ac:dyDescent="0.2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6"/>
      <c r="AA684" s="6"/>
      <c r="AB684" s="4"/>
      <c r="AC684" s="4"/>
      <c r="AD684" s="4"/>
    </row>
    <row r="685" spans="1:30" ht="15.75" customHeight="1" x14ac:dyDescent="0.2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6"/>
      <c r="AA685" s="6"/>
      <c r="AB685" s="4"/>
      <c r="AC685" s="4"/>
      <c r="AD685" s="4"/>
    </row>
    <row r="686" spans="1:30" ht="15.75" customHeight="1" x14ac:dyDescent="0.2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6"/>
      <c r="AA686" s="6"/>
      <c r="AB686" s="4"/>
      <c r="AC686" s="4"/>
      <c r="AD686" s="4"/>
    </row>
    <row r="687" spans="1:30" ht="15.75" customHeight="1" x14ac:dyDescent="0.2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6"/>
      <c r="AA687" s="6"/>
      <c r="AB687" s="4"/>
      <c r="AC687" s="4"/>
      <c r="AD687" s="4"/>
    </row>
    <row r="688" spans="1:30" ht="15.75" customHeight="1" x14ac:dyDescent="0.2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6"/>
      <c r="AA688" s="6"/>
      <c r="AB688" s="4"/>
      <c r="AC688" s="4"/>
      <c r="AD688" s="4"/>
    </row>
    <row r="689" spans="1:30" ht="15.75" customHeight="1" x14ac:dyDescent="0.2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6"/>
      <c r="AA689" s="6"/>
      <c r="AB689" s="4"/>
      <c r="AC689" s="4"/>
      <c r="AD689" s="4"/>
    </row>
    <row r="690" spans="1:30" ht="15.75" customHeight="1" x14ac:dyDescent="0.2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6"/>
      <c r="AA690" s="6"/>
      <c r="AB690" s="4"/>
      <c r="AC690" s="4"/>
      <c r="AD690" s="4"/>
    </row>
    <row r="691" spans="1:30" ht="15.75" customHeight="1" x14ac:dyDescent="0.2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6"/>
      <c r="AA691" s="6"/>
      <c r="AB691" s="4"/>
      <c r="AC691" s="4"/>
      <c r="AD691" s="4"/>
    </row>
    <row r="692" spans="1:30" ht="15.75" customHeight="1" x14ac:dyDescent="0.2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6"/>
      <c r="AA692" s="6"/>
      <c r="AB692" s="4"/>
      <c r="AC692" s="4"/>
      <c r="AD692" s="4"/>
    </row>
    <row r="693" spans="1:30" ht="15.75" customHeight="1" x14ac:dyDescent="0.2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6"/>
      <c r="AA693" s="6"/>
      <c r="AB693" s="4"/>
      <c r="AC693" s="4"/>
      <c r="AD693" s="4"/>
    </row>
    <row r="694" spans="1:30" ht="15.75" customHeight="1" x14ac:dyDescent="0.2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6"/>
      <c r="AA694" s="6"/>
      <c r="AB694" s="4"/>
      <c r="AC694" s="4"/>
      <c r="AD694" s="4"/>
    </row>
    <row r="695" spans="1:30" ht="15.75" customHeight="1" x14ac:dyDescent="0.2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6"/>
      <c r="AA695" s="6"/>
      <c r="AB695" s="4"/>
      <c r="AC695" s="4"/>
      <c r="AD695" s="4"/>
    </row>
    <row r="696" spans="1:30" ht="15.75" customHeight="1" x14ac:dyDescent="0.2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6"/>
      <c r="AA696" s="6"/>
      <c r="AB696" s="4"/>
      <c r="AC696" s="4"/>
      <c r="AD696" s="4"/>
    </row>
    <row r="697" spans="1:30" ht="15.75" customHeight="1" x14ac:dyDescent="0.2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6"/>
      <c r="AA697" s="6"/>
      <c r="AB697" s="4"/>
      <c r="AC697" s="4"/>
      <c r="AD697" s="4"/>
    </row>
    <row r="698" spans="1:30" ht="15.75" customHeight="1" x14ac:dyDescent="0.2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6"/>
      <c r="AA698" s="6"/>
      <c r="AB698" s="4"/>
      <c r="AC698" s="4"/>
      <c r="AD698" s="4"/>
    </row>
    <row r="699" spans="1:30" ht="15.75" customHeight="1" x14ac:dyDescent="0.2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6"/>
      <c r="AA699" s="6"/>
      <c r="AB699" s="4"/>
      <c r="AC699" s="4"/>
      <c r="AD699" s="4"/>
    </row>
    <row r="700" spans="1:30" ht="15.75" customHeight="1" x14ac:dyDescent="0.2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6"/>
      <c r="AA700" s="6"/>
      <c r="AB700" s="4"/>
      <c r="AC700" s="4"/>
      <c r="AD700" s="4"/>
    </row>
    <row r="701" spans="1:30" ht="15.75" customHeight="1" x14ac:dyDescent="0.2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6"/>
      <c r="AA701" s="6"/>
      <c r="AB701" s="4"/>
      <c r="AC701" s="4"/>
      <c r="AD701" s="4"/>
    </row>
    <row r="702" spans="1:30" ht="15.75" customHeight="1" x14ac:dyDescent="0.2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6"/>
      <c r="AA702" s="6"/>
      <c r="AB702" s="4"/>
      <c r="AC702" s="4"/>
      <c r="AD702" s="4"/>
    </row>
    <row r="703" spans="1:30" ht="15.75" customHeight="1" x14ac:dyDescent="0.2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6"/>
      <c r="AA703" s="6"/>
      <c r="AB703" s="4"/>
      <c r="AC703" s="4"/>
      <c r="AD703" s="4"/>
    </row>
    <row r="704" spans="1:30" ht="15.75" customHeight="1" x14ac:dyDescent="0.2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6"/>
      <c r="AA704" s="6"/>
      <c r="AB704" s="4"/>
      <c r="AC704" s="4"/>
      <c r="AD704" s="4"/>
    </row>
    <row r="705" spans="1:30" ht="15.75" customHeight="1" x14ac:dyDescent="0.2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6"/>
      <c r="AA705" s="6"/>
      <c r="AB705" s="4"/>
      <c r="AC705" s="4"/>
      <c r="AD705" s="4"/>
    </row>
    <row r="706" spans="1:30" ht="15.75" customHeight="1" x14ac:dyDescent="0.2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6"/>
      <c r="AA706" s="6"/>
      <c r="AB706" s="4"/>
      <c r="AC706" s="4"/>
      <c r="AD706" s="4"/>
    </row>
    <row r="707" spans="1:30" ht="15.75" customHeight="1" x14ac:dyDescent="0.2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6"/>
      <c r="AA707" s="6"/>
      <c r="AB707" s="4"/>
      <c r="AC707" s="4"/>
      <c r="AD707" s="4"/>
    </row>
    <row r="708" spans="1:30" ht="15.75" customHeight="1" x14ac:dyDescent="0.2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6"/>
      <c r="AA708" s="6"/>
      <c r="AB708" s="4"/>
      <c r="AC708" s="4"/>
      <c r="AD708" s="4"/>
    </row>
    <row r="709" spans="1:30" ht="15.75" customHeight="1" x14ac:dyDescent="0.2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6"/>
      <c r="AA709" s="6"/>
      <c r="AB709" s="4"/>
      <c r="AC709" s="4"/>
      <c r="AD709" s="4"/>
    </row>
    <row r="710" spans="1:30" ht="15.75" customHeight="1" x14ac:dyDescent="0.2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6"/>
      <c r="AA710" s="6"/>
      <c r="AB710" s="4"/>
      <c r="AC710" s="4"/>
      <c r="AD710" s="4"/>
    </row>
    <row r="711" spans="1:30" ht="15.75" customHeight="1" x14ac:dyDescent="0.2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6"/>
      <c r="AA711" s="6"/>
      <c r="AB711" s="4"/>
      <c r="AC711" s="4"/>
      <c r="AD711" s="4"/>
    </row>
    <row r="712" spans="1:30" ht="15.75" customHeight="1" x14ac:dyDescent="0.2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6"/>
      <c r="AA712" s="6"/>
      <c r="AB712" s="4"/>
      <c r="AC712" s="4"/>
      <c r="AD712" s="4"/>
    </row>
    <row r="713" spans="1:30" ht="15.75" customHeight="1" x14ac:dyDescent="0.2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6"/>
      <c r="AA713" s="6"/>
      <c r="AB713" s="4"/>
      <c r="AC713" s="4"/>
      <c r="AD713" s="4"/>
    </row>
    <row r="714" spans="1:30" ht="15.75" customHeight="1" x14ac:dyDescent="0.2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6"/>
      <c r="AA714" s="6"/>
      <c r="AB714" s="4"/>
      <c r="AC714" s="4"/>
      <c r="AD714" s="4"/>
    </row>
    <row r="715" spans="1:30" ht="15.75" customHeight="1" x14ac:dyDescent="0.2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6"/>
      <c r="AA715" s="6"/>
      <c r="AB715" s="4"/>
      <c r="AC715" s="4"/>
      <c r="AD715" s="4"/>
    </row>
    <row r="716" spans="1:30" ht="15.75" customHeight="1" x14ac:dyDescent="0.2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6"/>
      <c r="AA716" s="6"/>
      <c r="AB716" s="4"/>
      <c r="AC716" s="4"/>
      <c r="AD716" s="4"/>
    </row>
    <row r="717" spans="1:30" ht="15.75" customHeight="1" x14ac:dyDescent="0.2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6"/>
      <c r="AA717" s="6"/>
      <c r="AB717" s="4"/>
      <c r="AC717" s="4"/>
      <c r="AD717" s="4"/>
    </row>
    <row r="718" spans="1:30" ht="15.75" customHeight="1" x14ac:dyDescent="0.2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6"/>
      <c r="AA718" s="6"/>
      <c r="AB718" s="4"/>
      <c r="AC718" s="4"/>
      <c r="AD718" s="4"/>
    </row>
    <row r="719" spans="1:30" ht="15.75" customHeight="1" x14ac:dyDescent="0.2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6"/>
      <c r="AA719" s="6"/>
      <c r="AB719" s="4"/>
      <c r="AC719" s="4"/>
      <c r="AD719" s="4"/>
    </row>
    <row r="720" spans="1:30" ht="15.75" customHeight="1" x14ac:dyDescent="0.2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6"/>
      <c r="AA720" s="6"/>
      <c r="AB720" s="4"/>
      <c r="AC720" s="4"/>
      <c r="AD720" s="4"/>
    </row>
    <row r="721" spans="1:30" ht="15.75" customHeight="1" x14ac:dyDescent="0.2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6"/>
      <c r="AA721" s="6"/>
      <c r="AB721" s="4"/>
      <c r="AC721" s="4"/>
      <c r="AD721" s="4"/>
    </row>
    <row r="722" spans="1:30" ht="15.75" customHeight="1" x14ac:dyDescent="0.2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6"/>
      <c r="AA722" s="6"/>
      <c r="AB722" s="4"/>
      <c r="AC722" s="4"/>
      <c r="AD722" s="4"/>
    </row>
    <row r="723" spans="1:30" ht="15.75" customHeight="1" x14ac:dyDescent="0.2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6"/>
      <c r="AA723" s="6"/>
      <c r="AB723" s="4"/>
      <c r="AC723" s="4"/>
      <c r="AD723" s="4"/>
    </row>
    <row r="724" spans="1:30" ht="15.75" customHeight="1" x14ac:dyDescent="0.2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6"/>
      <c r="AA724" s="6"/>
      <c r="AB724" s="4"/>
      <c r="AC724" s="4"/>
      <c r="AD724" s="4"/>
    </row>
    <row r="725" spans="1:30" ht="15.75" customHeight="1" x14ac:dyDescent="0.2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6"/>
      <c r="AA725" s="6"/>
      <c r="AB725" s="4"/>
      <c r="AC725" s="4"/>
      <c r="AD725" s="4"/>
    </row>
    <row r="726" spans="1:30" ht="15.75" customHeight="1" x14ac:dyDescent="0.2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6"/>
      <c r="AA726" s="6"/>
      <c r="AB726" s="4"/>
      <c r="AC726" s="4"/>
      <c r="AD726" s="4"/>
    </row>
    <row r="727" spans="1:30" ht="15.75" customHeight="1" x14ac:dyDescent="0.2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6"/>
      <c r="AA727" s="6"/>
      <c r="AB727" s="4"/>
      <c r="AC727" s="4"/>
      <c r="AD727" s="4"/>
    </row>
    <row r="728" spans="1:30" ht="15.75" customHeight="1" x14ac:dyDescent="0.2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6"/>
      <c r="AA728" s="6"/>
      <c r="AB728" s="4"/>
      <c r="AC728" s="4"/>
      <c r="AD728" s="4"/>
    </row>
    <row r="729" spans="1:30" ht="15.75" customHeight="1" x14ac:dyDescent="0.2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6"/>
      <c r="AA729" s="6"/>
      <c r="AB729" s="4"/>
      <c r="AC729" s="4"/>
      <c r="AD729" s="4"/>
    </row>
    <row r="730" spans="1:30" ht="15.75" customHeight="1" x14ac:dyDescent="0.2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6"/>
      <c r="AA730" s="6"/>
      <c r="AB730" s="4"/>
      <c r="AC730" s="4"/>
      <c r="AD730" s="4"/>
    </row>
    <row r="731" spans="1:30" ht="15.75" customHeight="1" x14ac:dyDescent="0.2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6"/>
      <c r="AA731" s="6"/>
      <c r="AB731" s="4"/>
      <c r="AC731" s="4"/>
      <c r="AD731" s="4"/>
    </row>
    <row r="732" spans="1:30" ht="15.75" customHeight="1" x14ac:dyDescent="0.2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6"/>
      <c r="AA732" s="6"/>
      <c r="AB732" s="4"/>
      <c r="AC732" s="4"/>
      <c r="AD732" s="4"/>
    </row>
    <row r="733" spans="1:30" ht="15.75" customHeight="1" x14ac:dyDescent="0.2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6"/>
      <c r="AA733" s="6"/>
      <c r="AB733" s="4"/>
      <c r="AC733" s="4"/>
      <c r="AD733" s="4"/>
    </row>
    <row r="734" spans="1:30" ht="15.75" customHeight="1" x14ac:dyDescent="0.2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6"/>
      <c r="AA734" s="6"/>
      <c r="AB734" s="4"/>
      <c r="AC734" s="4"/>
      <c r="AD734" s="4"/>
    </row>
    <row r="735" spans="1:30" ht="15.75" customHeight="1" x14ac:dyDescent="0.2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6"/>
      <c r="AA735" s="6"/>
      <c r="AB735" s="4"/>
      <c r="AC735" s="4"/>
      <c r="AD735" s="4"/>
    </row>
    <row r="736" spans="1:30" ht="15.75" customHeight="1" x14ac:dyDescent="0.2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6"/>
      <c r="AA736" s="6"/>
      <c r="AB736" s="4"/>
      <c r="AC736" s="4"/>
      <c r="AD736" s="4"/>
    </row>
    <row r="737" spans="1:30" ht="15.75" customHeight="1" x14ac:dyDescent="0.2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6"/>
      <c r="AA737" s="6"/>
      <c r="AB737" s="4"/>
      <c r="AC737" s="4"/>
      <c r="AD737" s="4"/>
    </row>
    <row r="738" spans="1:30" ht="15.75" customHeight="1" x14ac:dyDescent="0.2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6"/>
      <c r="AA738" s="6"/>
      <c r="AB738" s="4"/>
      <c r="AC738" s="4"/>
      <c r="AD738" s="4"/>
    </row>
    <row r="739" spans="1:30" ht="15.75" customHeight="1" x14ac:dyDescent="0.2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6"/>
      <c r="AA739" s="6"/>
      <c r="AB739" s="4"/>
      <c r="AC739" s="4"/>
      <c r="AD739" s="4"/>
    </row>
    <row r="740" spans="1:30" ht="15.75" customHeight="1" x14ac:dyDescent="0.2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6"/>
      <c r="AA740" s="6"/>
      <c r="AB740" s="4"/>
      <c r="AC740" s="4"/>
      <c r="AD740" s="4"/>
    </row>
    <row r="741" spans="1:30" ht="15.75" customHeight="1" x14ac:dyDescent="0.2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6"/>
      <c r="AA741" s="6"/>
      <c r="AB741" s="4"/>
      <c r="AC741" s="4"/>
      <c r="AD741" s="4"/>
    </row>
    <row r="742" spans="1:30" ht="15.75" customHeight="1" x14ac:dyDescent="0.2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6"/>
      <c r="AA742" s="6"/>
      <c r="AB742" s="4"/>
      <c r="AC742" s="4"/>
      <c r="AD742" s="4"/>
    </row>
    <row r="743" spans="1:30" ht="15.75" customHeight="1" x14ac:dyDescent="0.2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6"/>
      <c r="AA743" s="6"/>
      <c r="AB743" s="4"/>
      <c r="AC743" s="4"/>
      <c r="AD743" s="4"/>
    </row>
    <row r="744" spans="1:30" ht="15.75" customHeight="1" x14ac:dyDescent="0.2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6"/>
      <c r="AA744" s="6"/>
      <c r="AB744" s="4"/>
      <c r="AC744" s="4"/>
      <c r="AD744" s="4"/>
    </row>
    <row r="745" spans="1:30" ht="15.75" customHeight="1" x14ac:dyDescent="0.2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6"/>
      <c r="AA745" s="6"/>
      <c r="AB745" s="4"/>
      <c r="AC745" s="4"/>
      <c r="AD745" s="4"/>
    </row>
    <row r="746" spans="1:30" ht="15.75" customHeight="1" x14ac:dyDescent="0.2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6"/>
      <c r="AA746" s="6"/>
      <c r="AB746" s="4"/>
      <c r="AC746" s="4"/>
      <c r="AD746" s="4"/>
    </row>
    <row r="747" spans="1:30" ht="15.75" customHeight="1" x14ac:dyDescent="0.2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6"/>
      <c r="AA747" s="6"/>
      <c r="AB747" s="4"/>
      <c r="AC747" s="4"/>
      <c r="AD747" s="4"/>
    </row>
    <row r="748" spans="1:30" ht="15.75" customHeight="1" x14ac:dyDescent="0.2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6"/>
      <c r="AA748" s="6"/>
      <c r="AB748" s="4"/>
      <c r="AC748" s="4"/>
      <c r="AD748" s="4"/>
    </row>
    <row r="749" spans="1:30" ht="15.75" customHeight="1" x14ac:dyDescent="0.2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6"/>
      <c r="AA749" s="6"/>
      <c r="AB749" s="4"/>
      <c r="AC749" s="4"/>
      <c r="AD749" s="4"/>
    </row>
    <row r="750" spans="1:30" ht="15.75" customHeight="1" x14ac:dyDescent="0.2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6"/>
      <c r="AA750" s="6"/>
      <c r="AB750" s="4"/>
      <c r="AC750" s="4"/>
      <c r="AD750" s="4"/>
    </row>
    <row r="751" spans="1:30" ht="15.75" customHeight="1" x14ac:dyDescent="0.2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6"/>
      <c r="AA751" s="6"/>
      <c r="AB751" s="4"/>
      <c r="AC751" s="4"/>
      <c r="AD751" s="4"/>
    </row>
    <row r="752" spans="1:30" ht="15.75" customHeight="1" x14ac:dyDescent="0.2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6"/>
      <c r="AA752" s="6"/>
      <c r="AB752" s="4"/>
      <c r="AC752" s="4"/>
      <c r="AD752" s="4"/>
    </row>
    <row r="753" spans="1:30" ht="15.75" customHeight="1" x14ac:dyDescent="0.2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6"/>
      <c r="AA753" s="6"/>
      <c r="AB753" s="4"/>
      <c r="AC753" s="4"/>
      <c r="AD753" s="4"/>
    </row>
    <row r="754" spans="1:30" ht="15.75" customHeight="1" x14ac:dyDescent="0.2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6"/>
      <c r="AA754" s="6"/>
      <c r="AB754" s="4"/>
      <c r="AC754" s="4"/>
      <c r="AD754" s="4"/>
    </row>
    <row r="755" spans="1:30" ht="15.75" customHeight="1" x14ac:dyDescent="0.2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6"/>
      <c r="AA755" s="6"/>
      <c r="AB755" s="4"/>
      <c r="AC755" s="4"/>
      <c r="AD755" s="4"/>
    </row>
    <row r="756" spans="1:30" ht="15.75" customHeight="1" x14ac:dyDescent="0.2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6"/>
      <c r="AA756" s="6"/>
      <c r="AB756" s="4"/>
      <c r="AC756" s="4"/>
      <c r="AD756" s="4"/>
    </row>
    <row r="757" spans="1:30" ht="15.75" customHeight="1" x14ac:dyDescent="0.2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6"/>
      <c r="AA757" s="6"/>
      <c r="AB757" s="4"/>
      <c r="AC757" s="4"/>
      <c r="AD757" s="4"/>
    </row>
    <row r="758" spans="1:30" ht="15.75" customHeight="1" x14ac:dyDescent="0.2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6"/>
      <c r="AA758" s="6"/>
      <c r="AB758" s="4"/>
      <c r="AC758" s="4"/>
      <c r="AD758" s="4"/>
    </row>
    <row r="759" spans="1:30" ht="15.75" customHeight="1" x14ac:dyDescent="0.2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6"/>
      <c r="AA759" s="6"/>
      <c r="AB759" s="4"/>
      <c r="AC759" s="4"/>
      <c r="AD759" s="4"/>
    </row>
    <row r="760" spans="1:30" ht="15.75" customHeight="1" x14ac:dyDescent="0.2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6"/>
      <c r="AA760" s="6"/>
      <c r="AB760" s="4"/>
      <c r="AC760" s="4"/>
      <c r="AD760" s="4"/>
    </row>
    <row r="761" spans="1:30" ht="15.75" customHeight="1" x14ac:dyDescent="0.2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6"/>
      <c r="AA761" s="6"/>
      <c r="AB761" s="4"/>
      <c r="AC761" s="4"/>
      <c r="AD761" s="4"/>
    </row>
    <row r="762" spans="1:30" ht="15.75" customHeight="1" x14ac:dyDescent="0.2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6"/>
      <c r="AA762" s="6"/>
      <c r="AB762" s="4"/>
      <c r="AC762" s="4"/>
      <c r="AD762" s="4"/>
    </row>
    <row r="763" spans="1:30" ht="15.75" customHeight="1" x14ac:dyDescent="0.2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6"/>
      <c r="AA763" s="6"/>
      <c r="AB763" s="4"/>
      <c r="AC763" s="4"/>
      <c r="AD763" s="4"/>
    </row>
    <row r="764" spans="1:30" ht="15.75" customHeight="1" x14ac:dyDescent="0.2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6"/>
      <c r="AA764" s="6"/>
      <c r="AB764" s="4"/>
      <c r="AC764" s="4"/>
      <c r="AD764" s="4"/>
    </row>
    <row r="765" spans="1:30" ht="15.75" customHeight="1" x14ac:dyDescent="0.2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6"/>
      <c r="AA765" s="6"/>
      <c r="AB765" s="4"/>
      <c r="AC765" s="4"/>
      <c r="AD765" s="4"/>
    </row>
    <row r="766" spans="1:30" ht="15.75" customHeight="1" x14ac:dyDescent="0.2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6"/>
      <c r="AA766" s="6"/>
      <c r="AB766" s="4"/>
      <c r="AC766" s="4"/>
      <c r="AD766" s="4"/>
    </row>
    <row r="767" spans="1:30" ht="15.75" customHeight="1" x14ac:dyDescent="0.2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6"/>
      <c r="AA767" s="6"/>
      <c r="AB767" s="4"/>
      <c r="AC767" s="4"/>
      <c r="AD767" s="4"/>
    </row>
    <row r="768" spans="1:30" ht="15.75" customHeight="1" x14ac:dyDescent="0.2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6"/>
      <c r="AA768" s="6"/>
      <c r="AB768" s="4"/>
      <c r="AC768" s="4"/>
      <c r="AD768" s="4"/>
    </row>
    <row r="769" spans="1:30" ht="15.75" customHeight="1" x14ac:dyDescent="0.2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6"/>
      <c r="AA769" s="6"/>
      <c r="AB769" s="4"/>
      <c r="AC769" s="4"/>
      <c r="AD769" s="4"/>
    </row>
    <row r="770" spans="1:30" ht="15.75" customHeight="1" x14ac:dyDescent="0.2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6"/>
      <c r="AA770" s="6"/>
      <c r="AB770" s="4"/>
      <c r="AC770" s="4"/>
      <c r="AD770" s="4"/>
    </row>
    <row r="771" spans="1:30" ht="15.75" customHeight="1" x14ac:dyDescent="0.2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6"/>
      <c r="AA771" s="6"/>
      <c r="AB771" s="4"/>
      <c r="AC771" s="4"/>
      <c r="AD771" s="4"/>
    </row>
    <row r="772" spans="1:30" ht="15.75" customHeight="1" x14ac:dyDescent="0.2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6"/>
      <c r="AA772" s="6"/>
      <c r="AB772" s="4"/>
      <c r="AC772" s="4"/>
      <c r="AD772" s="4"/>
    </row>
    <row r="773" spans="1:30" ht="15.75" customHeight="1" x14ac:dyDescent="0.2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6"/>
      <c r="AA773" s="6"/>
      <c r="AB773" s="4"/>
      <c r="AC773" s="4"/>
      <c r="AD773" s="4"/>
    </row>
    <row r="774" spans="1:30" ht="15.75" customHeight="1" x14ac:dyDescent="0.2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6"/>
      <c r="AA774" s="6"/>
      <c r="AB774" s="4"/>
      <c r="AC774" s="4"/>
      <c r="AD774" s="4"/>
    </row>
    <row r="775" spans="1:30" ht="15.75" customHeight="1" x14ac:dyDescent="0.2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6"/>
      <c r="AA775" s="6"/>
      <c r="AB775" s="4"/>
      <c r="AC775" s="4"/>
      <c r="AD775" s="4"/>
    </row>
    <row r="776" spans="1:30" ht="15.75" customHeight="1" x14ac:dyDescent="0.2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6"/>
      <c r="AA776" s="6"/>
      <c r="AB776" s="4"/>
      <c r="AC776" s="4"/>
      <c r="AD776" s="4"/>
    </row>
    <row r="777" spans="1:30" ht="15.75" customHeight="1" x14ac:dyDescent="0.2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6"/>
      <c r="AA777" s="6"/>
      <c r="AB777" s="4"/>
      <c r="AC777" s="4"/>
      <c r="AD777" s="4"/>
    </row>
    <row r="778" spans="1:30" ht="15.75" customHeight="1" x14ac:dyDescent="0.2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6"/>
      <c r="AA778" s="6"/>
      <c r="AB778" s="4"/>
      <c r="AC778" s="4"/>
      <c r="AD778" s="4"/>
    </row>
    <row r="779" spans="1:30" ht="15.75" customHeight="1" x14ac:dyDescent="0.2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6"/>
      <c r="AA779" s="6"/>
      <c r="AB779" s="4"/>
      <c r="AC779" s="4"/>
      <c r="AD779" s="4"/>
    </row>
    <row r="780" spans="1:30" ht="15.75" customHeight="1" x14ac:dyDescent="0.2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6"/>
      <c r="AA780" s="6"/>
      <c r="AB780" s="4"/>
      <c r="AC780" s="4"/>
      <c r="AD780" s="4"/>
    </row>
    <row r="781" spans="1:30" ht="15.75" customHeight="1" x14ac:dyDescent="0.2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6"/>
      <c r="AA781" s="6"/>
      <c r="AB781" s="4"/>
      <c r="AC781" s="4"/>
      <c r="AD781" s="4"/>
    </row>
    <row r="782" spans="1:30" ht="15.75" customHeight="1" x14ac:dyDescent="0.2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6"/>
      <c r="AA782" s="6"/>
      <c r="AB782" s="4"/>
      <c r="AC782" s="4"/>
      <c r="AD782" s="4"/>
    </row>
    <row r="783" spans="1:30" ht="15.75" customHeight="1" x14ac:dyDescent="0.2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6"/>
      <c r="AA783" s="6"/>
      <c r="AB783" s="4"/>
      <c r="AC783" s="4"/>
      <c r="AD783" s="4"/>
    </row>
    <row r="784" spans="1:30" ht="15.75" customHeight="1" x14ac:dyDescent="0.2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6"/>
      <c r="AA784" s="6"/>
      <c r="AB784" s="4"/>
      <c r="AC784" s="4"/>
      <c r="AD784" s="4"/>
    </row>
    <row r="785" spans="1:30" ht="15.75" customHeight="1" x14ac:dyDescent="0.2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6"/>
      <c r="AA785" s="6"/>
      <c r="AB785" s="4"/>
      <c r="AC785" s="4"/>
      <c r="AD785" s="4"/>
    </row>
    <row r="786" spans="1:30" ht="15.75" customHeight="1" x14ac:dyDescent="0.2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6"/>
      <c r="AA786" s="6"/>
      <c r="AB786" s="4"/>
      <c r="AC786" s="4"/>
      <c r="AD786" s="4"/>
    </row>
    <row r="787" spans="1:30" ht="15.75" customHeight="1" x14ac:dyDescent="0.2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6"/>
      <c r="AA787" s="6"/>
      <c r="AB787" s="4"/>
      <c r="AC787" s="4"/>
      <c r="AD787" s="4"/>
    </row>
    <row r="788" spans="1:30" ht="15.75" customHeight="1" x14ac:dyDescent="0.2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6"/>
      <c r="AA788" s="6"/>
      <c r="AB788" s="4"/>
      <c r="AC788" s="4"/>
      <c r="AD788" s="4"/>
    </row>
    <row r="789" spans="1:30" ht="15.75" customHeight="1" x14ac:dyDescent="0.2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6"/>
      <c r="AA789" s="6"/>
      <c r="AB789" s="4"/>
      <c r="AC789" s="4"/>
      <c r="AD789" s="4"/>
    </row>
    <row r="790" spans="1:30" ht="15.75" customHeight="1" x14ac:dyDescent="0.2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6"/>
      <c r="AA790" s="6"/>
      <c r="AB790" s="4"/>
      <c r="AC790" s="4"/>
      <c r="AD790" s="4"/>
    </row>
    <row r="791" spans="1:30" ht="15.75" customHeight="1" x14ac:dyDescent="0.2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6"/>
      <c r="AA791" s="6"/>
      <c r="AB791" s="4"/>
      <c r="AC791" s="4"/>
      <c r="AD791" s="4"/>
    </row>
    <row r="792" spans="1:30" ht="15.75" customHeight="1" x14ac:dyDescent="0.2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6"/>
      <c r="AA792" s="6"/>
      <c r="AB792" s="4"/>
      <c r="AC792" s="4"/>
      <c r="AD792" s="4"/>
    </row>
    <row r="793" spans="1:30" ht="15.75" customHeight="1" x14ac:dyDescent="0.2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6"/>
      <c r="AA793" s="6"/>
      <c r="AB793" s="4"/>
      <c r="AC793" s="4"/>
      <c r="AD793" s="4"/>
    </row>
    <row r="794" spans="1:30" ht="15.75" customHeight="1" x14ac:dyDescent="0.2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6"/>
      <c r="AA794" s="6"/>
      <c r="AB794" s="4"/>
      <c r="AC794" s="4"/>
      <c r="AD794" s="4"/>
    </row>
    <row r="795" spans="1:30" ht="15.75" customHeight="1" x14ac:dyDescent="0.2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6"/>
      <c r="AA795" s="6"/>
      <c r="AB795" s="4"/>
      <c r="AC795" s="4"/>
      <c r="AD795" s="4"/>
    </row>
    <row r="796" spans="1:30" ht="15.75" customHeight="1" x14ac:dyDescent="0.2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6"/>
      <c r="AA796" s="6"/>
      <c r="AB796" s="4"/>
      <c r="AC796" s="4"/>
      <c r="AD796" s="4"/>
    </row>
    <row r="797" spans="1:30" ht="15.75" customHeight="1" x14ac:dyDescent="0.2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6"/>
      <c r="AA797" s="6"/>
      <c r="AB797" s="4"/>
      <c r="AC797" s="4"/>
      <c r="AD797" s="4"/>
    </row>
    <row r="798" spans="1:30" ht="15.75" customHeight="1" x14ac:dyDescent="0.2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6"/>
      <c r="AA798" s="6"/>
      <c r="AB798" s="4"/>
      <c r="AC798" s="4"/>
      <c r="AD798" s="4"/>
    </row>
    <row r="799" spans="1:30" ht="15.75" customHeight="1" x14ac:dyDescent="0.2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6"/>
      <c r="AA799" s="6"/>
      <c r="AB799" s="4"/>
      <c r="AC799" s="4"/>
      <c r="AD799" s="4"/>
    </row>
    <row r="800" spans="1:30" ht="15.75" customHeight="1" x14ac:dyDescent="0.2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6"/>
      <c r="AA800" s="6"/>
      <c r="AB800" s="4"/>
      <c r="AC800" s="4"/>
      <c r="AD800" s="4"/>
    </row>
    <row r="801" spans="1:30" ht="15.75" customHeight="1" x14ac:dyDescent="0.2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6"/>
      <c r="AA801" s="6"/>
      <c r="AB801" s="4"/>
      <c r="AC801" s="4"/>
      <c r="AD801" s="4"/>
    </row>
    <row r="802" spans="1:30" ht="15.75" customHeight="1" x14ac:dyDescent="0.2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6"/>
      <c r="AA802" s="6"/>
      <c r="AB802" s="4"/>
      <c r="AC802" s="4"/>
      <c r="AD802" s="4"/>
    </row>
    <row r="803" spans="1:30" ht="15.75" customHeight="1" x14ac:dyDescent="0.2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6"/>
      <c r="AA803" s="6"/>
      <c r="AB803" s="4"/>
      <c r="AC803" s="4"/>
      <c r="AD803" s="4"/>
    </row>
    <row r="804" spans="1:30" ht="15.75" customHeight="1" x14ac:dyDescent="0.2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6"/>
      <c r="AA804" s="6"/>
      <c r="AB804" s="4"/>
      <c r="AC804" s="4"/>
      <c r="AD804" s="4"/>
    </row>
    <row r="805" spans="1:30" ht="15.75" customHeight="1" x14ac:dyDescent="0.2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6"/>
      <c r="AA805" s="6"/>
      <c r="AB805" s="4"/>
      <c r="AC805" s="4"/>
      <c r="AD805" s="4"/>
    </row>
    <row r="806" spans="1:30" ht="15.75" customHeight="1" x14ac:dyDescent="0.2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6"/>
      <c r="AA806" s="6"/>
      <c r="AB806" s="4"/>
      <c r="AC806" s="4"/>
      <c r="AD806" s="4"/>
    </row>
    <row r="807" spans="1:30" ht="15.75" customHeight="1" x14ac:dyDescent="0.2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6"/>
      <c r="AA807" s="6"/>
      <c r="AB807" s="4"/>
      <c r="AC807" s="4"/>
      <c r="AD807" s="4"/>
    </row>
    <row r="808" spans="1:30" ht="15.75" customHeight="1" x14ac:dyDescent="0.2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6"/>
      <c r="AA808" s="6"/>
      <c r="AB808" s="4"/>
      <c r="AC808" s="4"/>
      <c r="AD808" s="4"/>
    </row>
    <row r="809" spans="1:30" ht="15.75" customHeight="1" x14ac:dyDescent="0.2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6"/>
      <c r="AA809" s="6"/>
      <c r="AB809" s="4"/>
      <c r="AC809" s="4"/>
      <c r="AD809" s="4"/>
    </row>
    <row r="810" spans="1:30" ht="15.75" customHeight="1" x14ac:dyDescent="0.2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6"/>
      <c r="AA810" s="6"/>
      <c r="AB810" s="4"/>
      <c r="AC810" s="4"/>
      <c r="AD810" s="4"/>
    </row>
    <row r="811" spans="1:30" ht="15.75" customHeight="1" x14ac:dyDescent="0.2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6"/>
      <c r="AA811" s="6"/>
      <c r="AB811" s="4"/>
      <c r="AC811" s="4"/>
      <c r="AD811" s="4"/>
    </row>
    <row r="812" spans="1:30" ht="15.75" customHeight="1" x14ac:dyDescent="0.2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6"/>
      <c r="AA812" s="6"/>
      <c r="AB812" s="4"/>
      <c r="AC812" s="4"/>
      <c r="AD812" s="4"/>
    </row>
    <row r="813" spans="1:30" ht="15.75" customHeight="1" x14ac:dyDescent="0.2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6"/>
      <c r="AA813" s="6"/>
      <c r="AB813" s="4"/>
      <c r="AC813" s="4"/>
      <c r="AD813" s="4"/>
    </row>
    <row r="814" spans="1:30" ht="15.75" customHeight="1" x14ac:dyDescent="0.2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6"/>
      <c r="AA814" s="6"/>
      <c r="AB814" s="4"/>
      <c r="AC814" s="4"/>
      <c r="AD814" s="4"/>
    </row>
    <row r="815" spans="1:30" ht="15.75" customHeight="1" x14ac:dyDescent="0.2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6"/>
      <c r="AA815" s="6"/>
      <c r="AB815" s="4"/>
      <c r="AC815" s="4"/>
      <c r="AD815" s="4"/>
    </row>
    <row r="816" spans="1:30" ht="15.75" customHeight="1" x14ac:dyDescent="0.2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6"/>
      <c r="AA816" s="6"/>
      <c r="AB816" s="4"/>
      <c r="AC816" s="4"/>
      <c r="AD816" s="4"/>
    </row>
    <row r="817" spans="1:30" ht="15.75" customHeight="1" x14ac:dyDescent="0.2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6"/>
      <c r="AA817" s="6"/>
      <c r="AB817" s="4"/>
      <c r="AC817" s="4"/>
      <c r="AD817" s="4"/>
    </row>
    <row r="818" spans="1:30" ht="15.75" customHeight="1" x14ac:dyDescent="0.2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6"/>
      <c r="AA818" s="6"/>
      <c r="AB818" s="4"/>
      <c r="AC818" s="4"/>
      <c r="AD818" s="4"/>
    </row>
    <row r="819" spans="1:30" ht="15.75" customHeight="1" x14ac:dyDescent="0.2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6"/>
      <c r="AA819" s="6"/>
      <c r="AB819" s="4"/>
      <c r="AC819" s="4"/>
      <c r="AD819" s="4"/>
    </row>
    <row r="820" spans="1:30" ht="15.75" customHeight="1" x14ac:dyDescent="0.2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6"/>
      <c r="AA820" s="6"/>
      <c r="AB820" s="4"/>
      <c r="AC820" s="4"/>
      <c r="AD820" s="4"/>
    </row>
    <row r="821" spans="1:30" ht="15.75" customHeight="1" x14ac:dyDescent="0.2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6"/>
      <c r="AA821" s="6"/>
      <c r="AB821" s="4"/>
      <c r="AC821" s="4"/>
      <c r="AD821" s="4"/>
    </row>
    <row r="822" spans="1:30" ht="15.75" customHeight="1" x14ac:dyDescent="0.2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6"/>
      <c r="AA822" s="6"/>
      <c r="AB822" s="4"/>
      <c r="AC822" s="4"/>
      <c r="AD822" s="4"/>
    </row>
    <row r="823" spans="1:30" ht="15.75" customHeight="1" x14ac:dyDescent="0.2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6"/>
      <c r="AA823" s="6"/>
      <c r="AB823" s="4"/>
      <c r="AC823" s="4"/>
      <c r="AD823" s="4"/>
    </row>
    <row r="824" spans="1:30" ht="15.75" customHeight="1" x14ac:dyDescent="0.2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6"/>
      <c r="AA824" s="6"/>
      <c r="AB824" s="4"/>
      <c r="AC824" s="4"/>
      <c r="AD824" s="4"/>
    </row>
    <row r="825" spans="1:30" ht="15.75" customHeight="1" x14ac:dyDescent="0.2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6"/>
      <c r="AA825" s="6"/>
      <c r="AB825" s="4"/>
      <c r="AC825" s="4"/>
      <c r="AD825" s="4"/>
    </row>
    <row r="826" spans="1:30" ht="15.75" customHeight="1" x14ac:dyDescent="0.2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6"/>
      <c r="AA826" s="6"/>
      <c r="AB826" s="4"/>
      <c r="AC826" s="4"/>
      <c r="AD826" s="4"/>
    </row>
    <row r="827" spans="1:30" ht="15.75" customHeight="1" x14ac:dyDescent="0.2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6"/>
      <c r="AA827" s="6"/>
      <c r="AB827" s="4"/>
      <c r="AC827" s="4"/>
      <c r="AD827" s="4"/>
    </row>
    <row r="828" spans="1:30" ht="15.75" customHeight="1" x14ac:dyDescent="0.2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6"/>
      <c r="AA828" s="6"/>
      <c r="AB828" s="4"/>
      <c r="AC828" s="4"/>
      <c r="AD828" s="4"/>
    </row>
    <row r="829" spans="1:30" ht="15.75" customHeight="1" x14ac:dyDescent="0.2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6"/>
      <c r="AA829" s="6"/>
      <c r="AB829" s="4"/>
      <c r="AC829" s="4"/>
      <c r="AD829" s="4"/>
    </row>
    <row r="830" spans="1:30" ht="15.75" customHeight="1" x14ac:dyDescent="0.2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6"/>
      <c r="AA830" s="6"/>
      <c r="AB830" s="4"/>
      <c r="AC830" s="4"/>
      <c r="AD830" s="4"/>
    </row>
    <row r="831" spans="1:30" ht="15.75" customHeight="1" x14ac:dyDescent="0.2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6"/>
      <c r="AA831" s="6"/>
      <c r="AB831" s="4"/>
      <c r="AC831" s="4"/>
      <c r="AD831" s="4"/>
    </row>
    <row r="832" spans="1:30" ht="15.75" customHeight="1" x14ac:dyDescent="0.2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6"/>
      <c r="AA832" s="6"/>
      <c r="AB832" s="4"/>
      <c r="AC832" s="4"/>
      <c r="AD832" s="4"/>
    </row>
    <row r="833" spans="1:30" ht="15.75" customHeight="1" x14ac:dyDescent="0.2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6"/>
      <c r="AA833" s="6"/>
      <c r="AB833" s="4"/>
      <c r="AC833" s="4"/>
      <c r="AD833" s="4"/>
    </row>
    <row r="834" spans="1:30" ht="15.75" customHeight="1" x14ac:dyDescent="0.2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6"/>
      <c r="AA834" s="6"/>
      <c r="AB834" s="4"/>
      <c r="AC834" s="4"/>
      <c r="AD834" s="4"/>
    </row>
    <row r="835" spans="1:30" ht="15.75" customHeight="1" x14ac:dyDescent="0.2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6"/>
      <c r="AA835" s="6"/>
      <c r="AB835" s="4"/>
      <c r="AC835" s="4"/>
      <c r="AD835" s="4"/>
    </row>
    <row r="836" spans="1:30" ht="15.75" customHeight="1" x14ac:dyDescent="0.2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6"/>
      <c r="AA836" s="6"/>
      <c r="AB836" s="4"/>
      <c r="AC836" s="4"/>
      <c r="AD836" s="4"/>
    </row>
    <row r="837" spans="1:30" ht="15.75" customHeight="1" x14ac:dyDescent="0.2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6"/>
      <c r="AA837" s="6"/>
      <c r="AB837" s="4"/>
      <c r="AC837" s="4"/>
      <c r="AD837" s="4"/>
    </row>
    <row r="838" spans="1:30" ht="15.75" customHeight="1" x14ac:dyDescent="0.2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6"/>
      <c r="AA838" s="6"/>
      <c r="AB838" s="4"/>
      <c r="AC838" s="4"/>
      <c r="AD838" s="4"/>
    </row>
    <row r="839" spans="1:30" ht="15.75" customHeight="1" x14ac:dyDescent="0.2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6"/>
      <c r="AA839" s="6"/>
      <c r="AB839" s="4"/>
      <c r="AC839" s="4"/>
      <c r="AD839" s="4"/>
    </row>
    <row r="840" spans="1:30" ht="15.75" customHeight="1" x14ac:dyDescent="0.2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6"/>
      <c r="AA840" s="6"/>
      <c r="AB840" s="4"/>
      <c r="AC840" s="4"/>
      <c r="AD840" s="4"/>
    </row>
    <row r="841" spans="1:30" ht="15.75" customHeight="1" x14ac:dyDescent="0.2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6"/>
      <c r="AA841" s="6"/>
      <c r="AB841" s="4"/>
      <c r="AC841" s="4"/>
      <c r="AD841" s="4"/>
    </row>
    <row r="842" spans="1:30" ht="15.75" customHeight="1" x14ac:dyDescent="0.2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6"/>
      <c r="AA842" s="6"/>
      <c r="AB842" s="4"/>
      <c r="AC842" s="4"/>
      <c r="AD842" s="4"/>
    </row>
    <row r="843" spans="1:30" ht="15.75" customHeight="1" x14ac:dyDescent="0.2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6"/>
      <c r="AA843" s="6"/>
      <c r="AB843" s="4"/>
      <c r="AC843" s="4"/>
      <c r="AD843" s="4"/>
    </row>
    <row r="844" spans="1:30" ht="15.75" customHeight="1" x14ac:dyDescent="0.2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6"/>
      <c r="AA844" s="6"/>
      <c r="AB844" s="4"/>
      <c r="AC844" s="4"/>
      <c r="AD844" s="4"/>
    </row>
    <row r="845" spans="1:30" ht="15.75" customHeight="1" x14ac:dyDescent="0.2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6"/>
      <c r="AA845" s="6"/>
      <c r="AB845" s="4"/>
      <c r="AC845" s="4"/>
      <c r="AD845" s="4"/>
    </row>
    <row r="846" spans="1:30" ht="15.75" customHeight="1" x14ac:dyDescent="0.2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6"/>
      <c r="AA846" s="6"/>
      <c r="AB846" s="4"/>
      <c r="AC846" s="4"/>
      <c r="AD846" s="4"/>
    </row>
    <row r="847" spans="1:30" ht="15.75" customHeight="1" x14ac:dyDescent="0.2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6"/>
      <c r="AA847" s="6"/>
      <c r="AB847" s="4"/>
      <c r="AC847" s="4"/>
      <c r="AD847" s="4"/>
    </row>
    <row r="848" spans="1:30" ht="15.75" customHeight="1" x14ac:dyDescent="0.2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6"/>
      <c r="AA848" s="6"/>
      <c r="AB848" s="4"/>
      <c r="AC848" s="4"/>
      <c r="AD848" s="4"/>
    </row>
    <row r="849" spans="1:30" ht="15.75" customHeight="1" x14ac:dyDescent="0.2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6"/>
      <c r="AA849" s="6"/>
      <c r="AB849" s="4"/>
      <c r="AC849" s="4"/>
      <c r="AD849" s="4"/>
    </row>
    <row r="850" spans="1:30" ht="15.75" customHeight="1" x14ac:dyDescent="0.2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6"/>
      <c r="AA850" s="6"/>
      <c r="AB850" s="4"/>
      <c r="AC850" s="4"/>
      <c r="AD850" s="4"/>
    </row>
    <row r="851" spans="1:30" ht="15.75" customHeight="1" x14ac:dyDescent="0.2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6"/>
      <c r="AA851" s="6"/>
      <c r="AB851" s="4"/>
      <c r="AC851" s="4"/>
      <c r="AD851" s="4"/>
    </row>
    <row r="852" spans="1:30" ht="15.75" customHeight="1" x14ac:dyDescent="0.2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6"/>
      <c r="AA852" s="6"/>
      <c r="AB852" s="4"/>
      <c r="AC852" s="4"/>
      <c r="AD852" s="4"/>
    </row>
    <row r="853" spans="1:30" ht="15.75" customHeight="1" x14ac:dyDescent="0.2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6"/>
      <c r="AA853" s="6"/>
      <c r="AB853" s="4"/>
      <c r="AC853" s="4"/>
      <c r="AD853" s="4"/>
    </row>
    <row r="854" spans="1:30" ht="15.75" customHeight="1" x14ac:dyDescent="0.2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6"/>
      <c r="AA854" s="6"/>
      <c r="AB854" s="4"/>
      <c r="AC854" s="4"/>
      <c r="AD854" s="4"/>
    </row>
    <row r="855" spans="1:30" ht="15.75" customHeight="1" x14ac:dyDescent="0.2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6"/>
      <c r="AA855" s="6"/>
      <c r="AB855" s="4"/>
      <c r="AC855" s="4"/>
      <c r="AD855" s="4"/>
    </row>
    <row r="856" spans="1:30" ht="15.75" customHeight="1" x14ac:dyDescent="0.2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6"/>
      <c r="AA856" s="6"/>
      <c r="AB856" s="4"/>
      <c r="AC856" s="4"/>
      <c r="AD856" s="4"/>
    </row>
    <row r="857" spans="1:30" ht="15.75" customHeight="1" x14ac:dyDescent="0.2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6"/>
      <c r="AA857" s="6"/>
      <c r="AB857" s="4"/>
      <c r="AC857" s="4"/>
      <c r="AD857" s="4"/>
    </row>
    <row r="858" spans="1:30" ht="15.75" customHeight="1" x14ac:dyDescent="0.2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6"/>
      <c r="AA858" s="6"/>
      <c r="AB858" s="4"/>
      <c r="AC858" s="4"/>
      <c r="AD858" s="4"/>
    </row>
    <row r="859" spans="1:30" ht="15.75" customHeight="1" x14ac:dyDescent="0.2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6"/>
      <c r="AA859" s="6"/>
      <c r="AB859" s="4"/>
      <c r="AC859" s="4"/>
      <c r="AD859" s="4"/>
    </row>
    <row r="860" spans="1:30" ht="15.75" customHeight="1" x14ac:dyDescent="0.2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6"/>
      <c r="AA860" s="6"/>
      <c r="AB860" s="4"/>
      <c r="AC860" s="4"/>
      <c r="AD860" s="4"/>
    </row>
    <row r="861" spans="1:30" ht="15.75" customHeight="1" x14ac:dyDescent="0.2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6"/>
      <c r="AA861" s="6"/>
      <c r="AB861" s="4"/>
      <c r="AC861" s="4"/>
      <c r="AD861" s="4"/>
    </row>
    <row r="862" spans="1:30" ht="15.75" customHeight="1" x14ac:dyDescent="0.2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6"/>
      <c r="AA862" s="6"/>
      <c r="AB862" s="4"/>
      <c r="AC862" s="4"/>
      <c r="AD862" s="4"/>
    </row>
    <row r="863" spans="1:30" ht="15.75" customHeight="1" x14ac:dyDescent="0.2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6"/>
      <c r="AA863" s="6"/>
      <c r="AB863" s="4"/>
      <c r="AC863" s="4"/>
      <c r="AD863" s="4"/>
    </row>
    <row r="864" spans="1:30" ht="15.75" customHeight="1" x14ac:dyDescent="0.2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6"/>
      <c r="AA864" s="6"/>
      <c r="AB864" s="4"/>
      <c r="AC864" s="4"/>
      <c r="AD864" s="4"/>
    </row>
    <row r="865" spans="1:30" ht="15.75" customHeight="1" x14ac:dyDescent="0.2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6"/>
      <c r="AA865" s="6"/>
      <c r="AB865" s="4"/>
      <c r="AC865" s="4"/>
      <c r="AD865" s="4"/>
    </row>
    <row r="866" spans="1:30" ht="15.75" customHeight="1" x14ac:dyDescent="0.2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6"/>
      <c r="AA866" s="6"/>
      <c r="AB866" s="4"/>
      <c r="AC866" s="4"/>
      <c r="AD866" s="4"/>
    </row>
    <row r="867" spans="1:30" ht="15.75" customHeight="1" x14ac:dyDescent="0.2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6"/>
      <c r="AA867" s="6"/>
      <c r="AB867" s="4"/>
      <c r="AC867" s="4"/>
      <c r="AD867" s="4"/>
    </row>
    <row r="868" spans="1:30" ht="15.75" customHeight="1" x14ac:dyDescent="0.2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6"/>
      <c r="AA868" s="6"/>
      <c r="AB868" s="4"/>
      <c r="AC868" s="4"/>
      <c r="AD868" s="4"/>
    </row>
    <row r="869" spans="1:30" ht="15.75" customHeight="1" x14ac:dyDescent="0.2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6"/>
      <c r="AA869" s="6"/>
      <c r="AB869" s="4"/>
      <c r="AC869" s="4"/>
      <c r="AD869" s="4"/>
    </row>
    <row r="870" spans="1:30" ht="15.75" customHeight="1" x14ac:dyDescent="0.2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6"/>
      <c r="AA870" s="6"/>
      <c r="AB870" s="4"/>
      <c r="AC870" s="4"/>
      <c r="AD870" s="4"/>
    </row>
    <row r="871" spans="1:30" ht="15.75" customHeight="1" x14ac:dyDescent="0.2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6"/>
      <c r="AA871" s="6"/>
      <c r="AB871" s="4"/>
      <c r="AC871" s="4"/>
      <c r="AD871" s="4"/>
    </row>
    <row r="872" spans="1:30" ht="15.75" customHeight="1" x14ac:dyDescent="0.2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6"/>
      <c r="AA872" s="6"/>
      <c r="AB872" s="4"/>
      <c r="AC872" s="4"/>
      <c r="AD872" s="4"/>
    </row>
    <row r="873" spans="1:30" ht="15.75" customHeight="1" x14ac:dyDescent="0.2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6"/>
      <c r="AA873" s="6"/>
      <c r="AB873" s="4"/>
      <c r="AC873" s="4"/>
      <c r="AD873" s="4"/>
    </row>
    <row r="874" spans="1:30" ht="15.75" customHeight="1" x14ac:dyDescent="0.2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6"/>
      <c r="AA874" s="6"/>
      <c r="AB874" s="4"/>
      <c r="AC874" s="4"/>
      <c r="AD874" s="4"/>
    </row>
    <row r="875" spans="1:30" ht="15.75" customHeight="1" x14ac:dyDescent="0.2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6"/>
      <c r="AA875" s="6"/>
      <c r="AB875" s="4"/>
      <c r="AC875" s="4"/>
      <c r="AD875" s="4"/>
    </row>
    <row r="876" spans="1:30" ht="15.75" customHeight="1" x14ac:dyDescent="0.2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6"/>
      <c r="AA876" s="6"/>
      <c r="AB876" s="4"/>
      <c r="AC876" s="4"/>
      <c r="AD876" s="4"/>
    </row>
    <row r="877" spans="1:30" ht="15.75" customHeight="1" x14ac:dyDescent="0.2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6"/>
      <c r="AA877" s="6"/>
      <c r="AB877" s="4"/>
      <c r="AC877" s="4"/>
      <c r="AD877" s="4"/>
    </row>
    <row r="878" spans="1:30" ht="15.75" customHeight="1" x14ac:dyDescent="0.2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6"/>
      <c r="AA878" s="6"/>
      <c r="AB878" s="4"/>
      <c r="AC878" s="4"/>
      <c r="AD878" s="4"/>
    </row>
    <row r="879" spans="1:30" ht="15.75" customHeight="1" x14ac:dyDescent="0.2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6"/>
      <c r="AA879" s="6"/>
      <c r="AB879" s="4"/>
      <c r="AC879" s="4"/>
      <c r="AD879" s="4"/>
    </row>
    <row r="880" spans="1:30" ht="15.75" customHeight="1" x14ac:dyDescent="0.2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6"/>
      <c r="AA880" s="6"/>
      <c r="AB880" s="4"/>
      <c r="AC880" s="4"/>
      <c r="AD880" s="4"/>
    </row>
    <row r="881" spans="1:30" ht="15.75" customHeight="1" x14ac:dyDescent="0.2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6"/>
      <c r="AA881" s="6"/>
      <c r="AB881" s="4"/>
      <c r="AC881" s="4"/>
      <c r="AD881" s="4"/>
    </row>
    <row r="882" spans="1:30" ht="15.75" customHeight="1" x14ac:dyDescent="0.2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6"/>
      <c r="AA882" s="6"/>
      <c r="AB882" s="4"/>
      <c r="AC882" s="4"/>
      <c r="AD882" s="4"/>
    </row>
    <row r="883" spans="1:30" ht="15.75" customHeight="1" x14ac:dyDescent="0.2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6"/>
      <c r="AA883" s="6"/>
      <c r="AB883" s="4"/>
      <c r="AC883" s="4"/>
      <c r="AD883" s="4"/>
    </row>
    <row r="884" spans="1:30" ht="15.75" customHeight="1" x14ac:dyDescent="0.2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6"/>
      <c r="AA884" s="6"/>
      <c r="AB884" s="4"/>
      <c r="AC884" s="4"/>
      <c r="AD884" s="4"/>
    </row>
    <row r="885" spans="1:30" ht="15.75" customHeight="1" x14ac:dyDescent="0.2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6"/>
      <c r="AA885" s="6"/>
      <c r="AB885" s="4"/>
      <c r="AC885" s="4"/>
      <c r="AD885" s="4"/>
    </row>
    <row r="886" spans="1:30" ht="15.75" customHeight="1" x14ac:dyDescent="0.2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6"/>
      <c r="AA886" s="6"/>
      <c r="AB886" s="4"/>
      <c r="AC886" s="4"/>
      <c r="AD886" s="4"/>
    </row>
    <row r="887" spans="1:30" ht="15.75" customHeight="1" x14ac:dyDescent="0.2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6"/>
      <c r="AA887" s="6"/>
      <c r="AB887" s="4"/>
      <c r="AC887" s="4"/>
      <c r="AD887" s="4"/>
    </row>
    <row r="888" spans="1:30" ht="15.75" customHeight="1" x14ac:dyDescent="0.2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6"/>
      <c r="AA888" s="6"/>
      <c r="AB888" s="4"/>
      <c r="AC888" s="4"/>
      <c r="AD888" s="4"/>
    </row>
    <row r="889" spans="1:30" ht="15.75" customHeight="1" x14ac:dyDescent="0.2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6"/>
      <c r="AA889" s="6"/>
      <c r="AB889" s="4"/>
      <c r="AC889" s="4"/>
      <c r="AD889" s="4"/>
    </row>
    <row r="890" spans="1:30" ht="15.75" customHeight="1" x14ac:dyDescent="0.2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6"/>
      <c r="AA890" s="6"/>
      <c r="AB890" s="4"/>
      <c r="AC890" s="4"/>
      <c r="AD890" s="4"/>
    </row>
    <row r="891" spans="1:30" ht="15.75" customHeight="1" x14ac:dyDescent="0.2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6"/>
      <c r="AA891" s="6"/>
      <c r="AB891" s="4"/>
      <c r="AC891" s="4"/>
      <c r="AD891" s="4"/>
    </row>
    <row r="892" spans="1:30" ht="15.75" customHeight="1" x14ac:dyDescent="0.2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6"/>
      <c r="AA892" s="6"/>
      <c r="AB892" s="4"/>
      <c r="AC892" s="4"/>
      <c r="AD892" s="4"/>
    </row>
    <row r="893" spans="1:30" ht="15.75" customHeight="1" x14ac:dyDescent="0.2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6"/>
      <c r="AA893" s="6"/>
      <c r="AB893" s="4"/>
      <c r="AC893" s="4"/>
      <c r="AD893" s="4"/>
    </row>
    <row r="894" spans="1:30" ht="15.75" customHeight="1" x14ac:dyDescent="0.2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6"/>
      <c r="AA894" s="6"/>
      <c r="AB894" s="4"/>
      <c r="AC894" s="4"/>
      <c r="AD894" s="4"/>
    </row>
    <row r="895" spans="1:30" ht="15.75" customHeight="1" x14ac:dyDescent="0.2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6"/>
      <c r="AA895" s="6"/>
      <c r="AB895" s="4"/>
      <c r="AC895" s="4"/>
      <c r="AD895" s="4"/>
    </row>
    <row r="896" spans="1:30" ht="15.75" customHeight="1" x14ac:dyDescent="0.2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6"/>
      <c r="AA896" s="6"/>
      <c r="AB896" s="4"/>
      <c r="AC896" s="4"/>
      <c r="AD896" s="4"/>
    </row>
    <row r="897" spans="1:30" ht="15.75" customHeight="1" x14ac:dyDescent="0.2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6"/>
      <c r="AA897" s="6"/>
      <c r="AB897" s="4"/>
      <c r="AC897" s="4"/>
      <c r="AD897" s="4"/>
    </row>
    <row r="898" spans="1:30" ht="15.75" customHeight="1" x14ac:dyDescent="0.2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6"/>
      <c r="AA898" s="6"/>
      <c r="AB898" s="4"/>
      <c r="AC898" s="4"/>
      <c r="AD898" s="4"/>
    </row>
    <row r="899" spans="1:30" ht="15.75" customHeight="1" x14ac:dyDescent="0.2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6"/>
      <c r="AA899" s="6"/>
      <c r="AB899" s="4"/>
      <c r="AC899" s="4"/>
      <c r="AD899" s="4"/>
    </row>
    <row r="900" spans="1:30" ht="15.75" customHeight="1" x14ac:dyDescent="0.2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6"/>
      <c r="AA900" s="6"/>
      <c r="AB900" s="4"/>
      <c r="AC900" s="4"/>
      <c r="AD900" s="4"/>
    </row>
    <row r="901" spans="1:30" ht="15.75" customHeight="1" x14ac:dyDescent="0.2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6"/>
      <c r="AA901" s="6"/>
      <c r="AB901" s="4"/>
      <c r="AC901" s="4"/>
      <c r="AD901" s="4"/>
    </row>
    <row r="902" spans="1:30" ht="15.75" customHeight="1" x14ac:dyDescent="0.2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6"/>
      <c r="AA902" s="6"/>
      <c r="AB902" s="4"/>
      <c r="AC902" s="4"/>
      <c r="AD902" s="4"/>
    </row>
    <row r="903" spans="1:30" ht="15.75" customHeight="1" x14ac:dyDescent="0.2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6"/>
      <c r="AA903" s="6"/>
      <c r="AB903" s="4"/>
      <c r="AC903" s="4"/>
      <c r="AD903" s="4"/>
    </row>
    <row r="904" spans="1:30" ht="15.75" customHeight="1" x14ac:dyDescent="0.2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6"/>
      <c r="AA904" s="6"/>
      <c r="AB904" s="4"/>
      <c r="AC904" s="4"/>
      <c r="AD904" s="4"/>
    </row>
    <row r="905" spans="1:30" ht="15.75" customHeight="1" x14ac:dyDescent="0.2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6"/>
      <c r="AA905" s="6"/>
      <c r="AB905" s="4"/>
      <c r="AC905" s="4"/>
      <c r="AD905" s="4"/>
    </row>
    <row r="906" spans="1:30" ht="15.75" customHeight="1" x14ac:dyDescent="0.2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6"/>
      <c r="AA906" s="6"/>
      <c r="AB906" s="4"/>
      <c r="AC906" s="4"/>
      <c r="AD906" s="4"/>
    </row>
    <row r="907" spans="1:30" ht="15.75" customHeight="1" x14ac:dyDescent="0.2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6"/>
      <c r="AA907" s="6"/>
      <c r="AB907" s="4"/>
      <c r="AC907" s="4"/>
      <c r="AD907" s="4"/>
    </row>
    <row r="908" spans="1:30" ht="15.75" customHeight="1" x14ac:dyDescent="0.2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6"/>
      <c r="AA908" s="6"/>
      <c r="AB908" s="4"/>
      <c r="AC908" s="4"/>
      <c r="AD908" s="4"/>
    </row>
    <row r="909" spans="1:30" ht="15.75" customHeight="1" x14ac:dyDescent="0.2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6"/>
      <c r="AA909" s="6"/>
      <c r="AB909" s="4"/>
      <c r="AC909" s="4"/>
      <c r="AD909" s="4"/>
    </row>
    <row r="910" spans="1:30" ht="15.75" customHeight="1" x14ac:dyDescent="0.2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6"/>
      <c r="AA910" s="6"/>
      <c r="AB910" s="4"/>
      <c r="AC910" s="4"/>
      <c r="AD910" s="4"/>
    </row>
    <row r="911" spans="1:30" ht="15.75" customHeight="1" x14ac:dyDescent="0.2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6"/>
      <c r="AA911" s="6"/>
      <c r="AB911" s="4"/>
      <c r="AC911" s="4"/>
      <c r="AD911" s="4"/>
    </row>
    <row r="912" spans="1:30" ht="15.75" customHeight="1" x14ac:dyDescent="0.2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6"/>
      <c r="AA912" s="6"/>
      <c r="AB912" s="4"/>
      <c r="AC912" s="4"/>
      <c r="AD912" s="4"/>
    </row>
    <row r="913" spans="1:30" ht="15.75" customHeight="1" x14ac:dyDescent="0.2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6"/>
      <c r="AA913" s="6"/>
      <c r="AB913" s="4"/>
      <c r="AC913" s="4"/>
      <c r="AD913" s="4"/>
    </row>
    <row r="914" spans="1:30" ht="15.75" customHeight="1" x14ac:dyDescent="0.2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6"/>
      <c r="AA914" s="6"/>
      <c r="AB914" s="4"/>
      <c r="AC914" s="4"/>
      <c r="AD914" s="4"/>
    </row>
    <row r="915" spans="1:30" ht="15.75" customHeight="1" x14ac:dyDescent="0.2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6"/>
      <c r="AA915" s="6"/>
      <c r="AB915" s="4"/>
      <c r="AC915" s="4"/>
      <c r="AD915" s="4"/>
    </row>
    <row r="916" spans="1:30" ht="15.75" customHeight="1" x14ac:dyDescent="0.2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6"/>
      <c r="AA916" s="6"/>
      <c r="AB916" s="4"/>
      <c r="AC916" s="4"/>
      <c r="AD916" s="4"/>
    </row>
    <row r="917" spans="1:30" ht="15.75" customHeight="1" x14ac:dyDescent="0.2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6"/>
      <c r="AA917" s="6"/>
      <c r="AB917" s="4"/>
      <c r="AC917" s="4"/>
      <c r="AD917" s="4"/>
    </row>
    <row r="918" spans="1:30" ht="15.75" customHeight="1" x14ac:dyDescent="0.2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6"/>
      <c r="AA918" s="6"/>
      <c r="AB918" s="4"/>
      <c r="AC918" s="4"/>
      <c r="AD918" s="4"/>
    </row>
    <row r="919" spans="1:30" ht="15.75" customHeight="1" x14ac:dyDescent="0.2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6"/>
      <c r="AA919" s="6"/>
      <c r="AB919" s="4"/>
      <c r="AC919" s="4"/>
      <c r="AD919" s="4"/>
    </row>
    <row r="920" spans="1:30" ht="15.75" customHeight="1" x14ac:dyDescent="0.2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6"/>
      <c r="AA920" s="6"/>
      <c r="AB920" s="4"/>
      <c r="AC920" s="4"/>
      <c r="AD920" s="4"/>
    </row>
    <row r="921" spans="1:30" ht="15.75" customHeight="1" x14ac:dyDescent="0.2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6"/>
      <c r="AA921" s="6"/>
      <c r="AB921" s="4"/>
      <c r="AC921" s="4"/>
      <c r="AD921" s="4"/>
    </row>
    <row r="922" spans="1:30" ht="15.75" customHeight="1" x14ac:dyDescent="0.2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6"/>
      <c r="AA922" s="6"/>
      <c r="AB922" s="4"/>
      <c r="AC922" s="4"/>
      <c r="AD922" s="4"/>
    </row>
    <row r="923" spans="1:30" ht="15.75" customHeight="1" x14ac:dyDescent="0.2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6"/>
      <c r="AA923" s="6"/>
      <c r="AB923" s="4"/>
      <c r="AC923" s="4"/>
      <c r="AD923" s="4"/>
    </row>
    <row r="924" spans="1:30" ht="15.75" customHeight="1" x14ac:dyDescent="0.2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6"/>
      <c r="AA924" s="6"/>
      <c r="AB924" s="4"/>
      <c r="AC924" s="4"/>
      <c r="AD924" s="4"/>
    </row>
    <row r="925" spans="1:30" ht="15.75" customHeight="1" x14ac:dyDescent="0.2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6"/>
      <c r="AA925" s="6"/>
      <c r="AB925" s="4"/>
      <c r="AC925" s="4"/>
      <c r="AD925" s="4"/>
    </row>
    <row r="926" spans="1:30" ht="15.75" customHeight="1" x14ac:dyDescent="0.2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6"/>
      <c r="AA926" s="6"/>
      <c r="AB926" s="4"/>
      <c r="AC926" s="4"/>
      <c r="AD926" s="4"/>
    </row>
    <row r="927" spans="1:30" ht="15.75" customHeight="1" x14ac:dyDescent="0.2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6"/>
      <c r="AA927" s="6"/>
      <c r="AB927" s="4"/>
      <c r="AC927" s="4"/>
      <c r="AD927" s="4"/>
    </row>
    <row r="928" spans="1:30" ht="15.75" customHeight="1" x14ac:dyDescent="0.2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6"/>
      <c r="AA928" s="6"/>
      <c r="AB928" s="4"/>
      <c r="AC928" s="4"/>
      <c r="AD928" s="4"/>
    </row>
    <row r="929" spans="1:30" ht="15.75" customHeight="1" x14ac:dyDescent="0.2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6"/>
      <c r="AA929" s="6"/>
      <c r="AB929" s="4"/>
      <c r="AC929" s="4"/>
      <c r="AD929" s="4"/>
    </row>
    <row r="930" spans="1:30" ht="15.75" customHeight="1" x14ac:dyDescent="0.2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6"/>
      <c r="AA930" s="6"/>
      <c r="AB930" s="4"/>
      <c r="AC930" s="4"/>
      <c r="AD930" s="4"/>
    </row>
    <row r="931" spans="1:30" ht="15.75" customHeight="1" x14ac:dyDescent="0.2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6"/>
      <c r="AA931" s="6"/>
      <c r="AB931" s="4"/>
      <c r="AC931" s="4"/>
      <c r="AD931" s="4"/>
    </row>
    <row r="932" spans="1:30" ht="15.75" customHeight="1" x14ac:dyDescent="0.2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6"/>
      <c r="AA932" s="6"/>
      <c r="AB932" s="4"/>
      <c r="AC932" s="4"/>
      <c r="AD932" s="4"/>
    </row>
    <row r="933" spans="1:30" ht="15.75" customHeight="1" x14ac:dyDescent="0.2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6"/>
      <c r="AA933" s="6"/>
      <c r="AB933" s="4"/>
      <c r="AC933" s="4"/>
      <c r="AD933" s="4"/>
    </row>
    <row r="934" spans="1:30" ht="15.75" customHeight="1" x14ac:dyDescent="0.2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6"/>
      <c r="AA934" s="6"/>
      <c r="AB934" s="4"/>
      <c r="AC934" s="4"/>
      <c r="AD934" s="4"/>
    </row>
    <row r="935" spans="1:30" ht="15.75" customHeight="1" x14ac:dyDescent="0.2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6"/>
      <c r="AA935" s="6"/>
      <c r="AB935" s="4"/>
      <c r="AC935" s="4"/>
      <c r="AD935" s="4"/>
    </row>
    <row r="936" spans="1:30" ht="15.75" customHeight="1" x14ac:dyDescent="0.2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6"/>
      <c r="AA936" s="6"/>
      <c r="AB936" s="4"/>
      <c r="AC936" s="4"/>
      <c r="AD936" s="4"/>
    </row>
    <row r="937" spans="1:30" ht="15.75" customHeight="1" x14ac:dyDescent="0.2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6"/>
      <c r="AA937" s="6"/>
      <c r="AB937" s="4"/>
      <c r="AC937" s="4"/>
      <c r="AD937" s="4"/>
    </row>
    <row r="938" spans="1:30" ht="15.75" customHeight="1" x14ac:dyDescent="0.2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6"/>
      <c r="AA938" s="6"/>
      <c r="AB938" s="4"/>
      <c r="AC938" s="4"/>
      <c r="AD938" s="4"/>
    </row>
    <row r="939" spans="1:30" ht="15.75" customHeight="1" x14ac:dyDescent="0.2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6"/>
      <c r="AA939" s="6"/>
      <c r="AB939" s="4"/>
      <c r="AC939" s="4"/>
      <c r="AD939" s="4"/>
    </row>
    <row r="940" spans="1:30" ht="15.75" customHeight="1" x14ac:dyDescent="0.2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6"/>
      <c r="AA940" s="6"/>
      <c r="AB940" s="4"/>
      <c r="AC940" s="4"/>
      <c r="AD940" s="4"/>
    </row>
    <row r="941" spans="1:30" ht="15.75" customHeight="1" x14ac:dyDescent="0.2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6"/>
      <c r="AA941" s="6"/>
      <c r="AB941" s="4"/>
      <c r="AC941" s="4"/>
      <c r="AD941" s="4"/>
    </row>
    <row r="942" spans="1:30" ht="15.75" customHeight="1" x14ac:dyDescent="0.2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6"/>
      <c r="AA942" s="6"/>
      <c r="AB942" s="4"/>
      <c r="AC942" s="4"/>
      <c r="AD942" s="4"/>
    </row>
    <row r="943" spans="1:30" ht="15.75" customHeight="1" x14ac:dyDescent="0.2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6"/>
      <c r="AA943" s="6"/>
      <c r="AB943" s="4"/>
      <c r="AC943" s="4"/>
      <c r="AD943" s="4"/>
    </row>
    <row r="944" spans="1:30" ht="15.75" customHeight="1" x14ac:dyDescent="0.2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6"/>
      <c r="AA944" s="6"/>
      <c r="AB944" s="4"/>
      <c r="AC944" s="4"/>
      <c r="AD944" s="4"/>
    </row>
    <row r="945" spans="1:30" ht="15.75" customHeight="1" x14ac:dyDescent="0.2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6"/>
      <c r="AA945" s="6"/>
      <c r="AB945" s="4"/>
      <c r="AC945" s="4"/>
      <c r="AD945" s="4"/>
    </row>
    <row r="946" spans="1:30" ht="15.75" customHeight="1" x14ac:dyDescent="0.2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6"/>
      <c r="AA946" s="6"/>
      <c r="AB946" s="4"/>
      <c r="AC946" s="4"/>
      <c r="AD946" s="4"/>
    </row>
    <row r="947" spans="1:30" ht="15.75" customHeight="1" x14ac:dyDescent="0.2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6"/>
      <c r="AA947" s="6"/>
      <c r="AB947" s="4"/>
      <c r="AC947" s="4"/>
      <c r="AD947" s="4"/>
    </row>
    <row r="948" spans="1:30" ht="15.75" customHeight="1" x14ac:dyDescent="0.2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6"/>
      <c r="AA948" s="6"/>
      <c r="AB948" s="4"/>
      <c r="AC948" s="4"/>
      <c r="AD948" s="4"/>
    </row>
    <row r="949" spans="1:30" ht="15.75" customHeight="1" x14ac:dyDescent="0.2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6"/>
      <c r="AA949" s="6"/>
      <c r="AB949" s="4"/>
      <c r="AC949" s="4"/>
      <c r="AD949" s="4"/>
    </row>
    <row r="950" spans="1:30" ht="15.75" customHeight="1" x14ac:dyDescent="0.2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6"/>
      <c r="AA950" s="6"/>
      <c r="AB950" s="4"/>
      <c r="AC950" s="4"/>
      <c r="AD950" s="4"/>
    </row>
    <row r="951" spans="1:30" ht="15.75" customHeight="1" x14ac:dyDescent="0.2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6"/>
      <c r="AA951" s="6"/>
      <c r="AB951" s="4"/>
      <c r="AC951" s="4"/>
      <c r="AD951" s="4"/>
    </row>
    <row r="952" spans="1:30" ht="15.75" customHeight="1" x14ac:dyDescent="0.2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6"/>
      <c r="AA952" s="6"/>
      <c r="AB952" s="4"/>
      <c r="AC952" s="4"/>
      <c r="AD952" s="4"/>
    </row>
    <row r="953" spans="1:30" ht="15.75" customHeight="1" x14ac:dyDescent="0.2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6"/>
      <c r="AA953" s="6"/>
      <c r="AB953" s="4"/>
      <c r="AC953" s="4"/>
      <c r="AD953" s="4"/>
    </row>
    <row r="954" spans="1:30" ht="15.75" customHeight="1" x14ac:dyDescent="0.2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6"/>
      <c r="AA954" s="6"/>
      <c r="AB954" s="4"/>
      <c r="AC954" s="4"/>
      <c r="AD954" s="4"/>
    </row>
    <row r="955" spans="1:30" ht="15.75" customHeight="1" x14ac:dyDescent="0.2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6"/>
      <c r="AA955" s="6"/>
      <c r="AB955" s="4"/>
      <c r="AC955" s="4"/>
      <c r="AD955" s="4"/>
    </row>
    <row r="956" spans="1:30" ht="15.75" customHeight="1" x14ac:dyDescent="0.2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6"/>
      <c r="AA956" s="6"/>
      <c r="AB956" s="4"/>
      <c r="AC956" s="4"/>
      <c r="AD956" s="4"/>
    </row>
    <row r="957" spans="1:30" ht="15.75" customHeight="1" x14ac:dyDescent="0.2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6"/>
      <c r="AA957" s="6"/>
      <c r="AB957" s="4"/>
      <c r="AC957" s="4"/>
      <c r="AD957" s="4"/>
    </row>
    <row r="958" spans="1:30" ht="15.75" customHeight="1" x14ac:dyDescent="0.2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6"/>
      <c r="AA958" s="6"/>
      <c r="AB958" s="4"/>
      <c r="AC958" s="4"/>
      <c r="AD958" s="4"/>
    </row>
    <row r="959" spans="1:30" ht="15.75" customHeight="1" x14ac:dyDescent="0.2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6"/>
      <c r="AA959" s="6"/>
      <c r="AB959" s="4"/>
      <c r="AC959" s="4"/>
      <c r="AD959" s="4"/>
    </row>
    <row r="960" spans="1:30" ht="15.75" customHeight="1" x14ac:dyDescent="0.2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6"/>
      <c r="AA960" s="6"/>
      <c r="AB960" s="4"/>
      <c r="AC960" s="4"/>
      <c r="AD960" s="4"/>
    </row>
    <row r="961" spans="1:30" ht="15.75" customHeight="1" x14ac:dyDescent="0.2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6"/>
      <c r="AA961" s="6"/>
      <c r="AB961" s="4"/>
      <c r="AC961" s="4"/>
      <c r="AD961" s="4"/>
    </row>
    <row r="962" spans="1:30" ht="15.75" customHeight="1" x14ac:dyDescent="0.2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6"/>
      <c r="AA962" s="6"/>
      <c r="AB962" s="4"/>
      <c r="AC962" s="4"/>
      <c r="AD962" s="4"/>
    </row>
    <row r="963" spans="1:30" ht="15.75" customHeight="1" x14ac:dyDescent="0.2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6"/>
      <c r="AA963" s="6"/>
      <c r="AB963" s="4"/>
      <c r="AC963" s="4"/>
      <c r="AD963" s="4"/>
    </row>
    <row r="964" spans="1:30" ht="15.75" customHeight="1" x14ac:dyDescent="0.2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6"/>
      <c r="AA964" s="6"/>
      <c r="AB964" s="4"/>
      <c r="AC964" s="4"/>
      <c r="AD964" s="4"/>
    </row>
    <row r="965" spans="1:30" ht="15.75" customHeight="1" x14ac:dyDescent="0.2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6"/>
      <c r="AA965" s="6"/>
      <c r="AB965" s="4"/>
      <c r="AC965" s="4"/>
      <c r="AD965" s="4"/>
    </row>
    <row r="966" spans="1:30" ht="15.75" customHeight="1" x14ac:dyDescent="0.2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6"/>
      <c r="AA966" s="6"/>
      <c r="AB966" s="4"/>
      <c r="AC966" s="4"/>
      <c r="AD966" s="4"/>
    </row>
    <row r="967" spans="1:30" ht="15.75" customHeight="1" x14ac:dyDescent="0.2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6"/>
      <c r="AA967" s="6"/>
      <c r="AB967" s="4"/>
      <c r="AC967" s="4"/>
      <c r="AD967" s="4"/>
    </row>
    <row r="968" spans="1:30" ht="15.75" customHeight="1" x14ac:dyDescent="0.2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6"/>
      <c r="AA968" s="6"/>
      <c r="AB968" s="4"/>
      <c r="AC968" s="4"/>
      <c r="AD968" s="4"/>
    </row>
    <row r="969" spans="1:30" ht="15.75" customHeight="1" x14ac:dyDescent="0.2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6"/>
      <c r="AA969" s="6"/>
      <c r="AB969" s="4"/>
      <c r="AC969" s="4"/>
      <c r="AD969" s="4"/>
    </row>
    <row r="970" spans="1:30" ht="15.75" customHeight="1" x14ac:dyDescent="0.2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6"/>
      <c r="AA970" s="6"/>
      <c r="AB970" s="4"/>
      <c r="AC970" s="4"/>
      <c r="AD970" s="4"/>
    </row>
    <row r="971" spans="1:30" ht="15.75" customHeight="1" x14ac:dyDescent="0.2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6"/>
      <c r="AA971" s="6"/>
      <c r="AB971" s="4"/>
      <c r="AC971" s="4"/>
      <c r="AD971" s="4"/>
    </row>
    <row r="972" spans="1:30" ht="15.75" customHeight="1" x14ac:dyDescent="0.2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6"/>
      <c r="AA972" s="6"/>
      <c r="AB972" s="4"/>
      <c r="AC972" s="4"/>
      <c r="AD972" s="4"/>
    </row>
    <row r="973" spans="1:30" ht="15.75" customHeight="1" x14ac:dyDescent="0.2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6"/>
      <c r="AA973" s="6"/>
      <c r="AB973" s="4"/>
      <c r="AC973" s="4"/>
      <c r="AD973" s="4"/>
    </row>
    <row r="974" spans="1:30" ht="15.75" customHeight="1" x14ac:dyDescent="0.2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6"/>
      <c r="AA974" s="6"/>
      <c r="AB974" s="4"/>
      <c r="AC974" s="4"/>
      <c r="AD974" s="4"/>
    </row>
    <row r="975" spans="1:30" ht="15.75" customHeight="1" x14ac:dyDescent="0.2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6"/>
      <c r="AA975" s="6"/>
      <c r="AB975" s="4"/>
      <c r="AC975" s="4"/>
      <c r="AD975" s="4"/>
    </row>
    <row r="976" spans="1:30" ht="15.75" customHeight="1" x14ac:dyDescent="0.2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6"/>
      <c r="AA976" s="6"/>
      <c r="AB976" s="4"/>
      <c r="AC976" s="4"/>
      <c r="AD976" s="4"/>
    </row>
    <row r="977" spans="1:30" ht="15.75" customHeight="1" x14ac:dyDescent="0.2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6"/>
      <c r="AA977" s="6"/>
      <c r="AB977" s="4"/>
      <c r="AC977" s="4"/>
      <c r="AD977" s="4"/>
    </row>
    <row r="978" spans="1:30" ht="15.75" customHeight="1" x14ac:dyDescent="0.2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6"/>
      <c r="AA978" s="6"/>
      <c r="AB978" s="4"/>
      <c r="AC978" s="4"/>
      <c r="AD978" s="4"/>
    </row>
    <row r="979" spans="1:30" ht="15.75" customHeight="1" x14ac:dyDescent="0.2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6"/>
      <c r="AA979" s="6"/>
      <c r="AB979" s="4"/>
      <c r="AC979" s="4"/>
      <c r="AD979" s="4"/>
    </row>
    <row r="980" spans="1:30" ht="15.75" customHeight="1" x14ac:dyDescent="0.2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6"/>
      <c r="AA980" s="6"/>
      <c r="AB980" s="4"/>
      <c r="AC980" s="4"/>
      <c r="AD980" s="4"/>
    </row>
    <row r="981" spans="1:30" ht="15.75" customHeight="1" x14ac:dyDescent="0.2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6"/>
      <c r="AA981" s="6"/>
      <c r="AB981" s="4"/>
      <c r="AC981" s="4"/>
      <c r="AD981" s="4"/>
    </row>
    <row r="982" spans="1:30" ht="15.75" customHeight="1" x14ac:dyDescent="0.2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6"/>
      <c r="AA982" s="6"/>
      <c r="AB982" s="4"/>
      <c r="AC982" s="4"/>
      <c r="AD982" s="4"/>
    </row>
    <row r="983" spans="1:30" ht="15.75" customHeight="1" x14ac:dyDescent="0.2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6"/>
      <c r="AA983" s="6"/>
      <c r="AB983" s="4"/>
      <c r="AC983" s="4"/>
      <c r="AD983" s="4"/>
    </row>
    <row r="984" spans="1:30" ht="15.75" customHeight="1" x14ac:dyDescent="0.2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6"/>
      <c r="AA984" s="6"/>
      <c r="AB984" s="4"/>
      <c r="AC984" s="4"/>
      <c r="AD984" s="4"/>
    </row>
    <row r="985" spans="1:30" ht="15.75" customHeight="1" x14ac:dyDescent="0.2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6"/>
      <c r="AA985" s="6"/>
      <c r="AB985" s="4"/>
      <c r="AC985" s="4"/>
      <c r="AD985" s="4"/>
    </row>
    <row r="986" spans="1:30" ht="15.75" customHeight="1" x14ac:dyDescent="0.2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6"/>
      <c r="AA986" s="6"/>
      <c r="AB986" s="4"/>
      <c r="AC986" s="4"/>
      <c r="AD986" s="4"/>
    </row>
    <row r="987" spans="1:30" ht="15.75" customHeight="1" x14ac:dyDescent="0.2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6"/>
      <c r="AA987" s="6"/>
      <c r="AB987" s="4"/>
      <c r="AC987" s="4"/>
      <c r="AD987" s="4"/>
    </row>
    <row r="988" spans="1:30" ht="15.75" customHeight="1" x14ac:dyDescent="0.2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6"/>
      <c r="AA988" s="6"/>
      <c r="AB988" s="4"/>
      <c r="AC988" s="4"/>
      <c r="AD988" s="4"/>
    </row>
    <row r="989" spans="1:30" ht="15.75" customHeight="1" x14ac:dyDescent="0.2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6"/>
      <c r="AA989" s="6"/>
      <c r="AB989" s="4"/>
      <c r="AC989" s="4"/>
      <c r="AD989" s="4"/>
    </row>
    <row r="990" spans="1:30" ht="15.75" customHeight="1" x14ac:dyDescent="0.2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6"/>
      <c r="AA990" s="6"/>
      <c r="AB990" s="4"/>
      <c r="AC990" s="4"/>
      <c r="AD990" s="4"/>
    </row>
    <row r="991" spans="1:30" ht="15.75" customHeight="1" x14ac:dyDescent="0.2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6"/>
      <c r="AA991" s="6"/>
      <c r="AB991" s="4"/>
      <c r="AC991" s="4"/>
      <c r="AD991" s="4"/>
    </row>
    <row r="992" spans="1:30" ht="15.75" customHeight="1" x14ac:dyDescent="0.2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6"/>
      <c r="AA992" s="6"/>
      <c r="AB992" s="4"/>
      <c r="AC992" s="4"/>
      <c r="AD992" s="4"/>
    </row>
    <row r="993" spans="1:30" ht="15.75" customHeight="1" x14ac:dyDescent="0.2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6"/>
      <c r="AA993" s="6"/>
      <c r="AB993" s="4"/>
      <c r="AC993" s="4"/>
      <c r="AD993" s="4"/>
    </row>
    <row r="994" spans="1:30" ht="15.75" customHeight="1" x14ac:dyDescent="0.2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6"/>
      <c r="AA994" s="6"/>
      <c r="AB994" s="4"/>
      <c r="AC994" s="4"/>
      <c r="AD994" s="4"/>
    </row>
    <row r="995" spans="1:30" ht="15.75" customHeight="1" x14ac:dyDescent="0.2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6"/>
      <c r="AA995" s="6"/>
      <c r="AB995" s="4"/>
      <c r="AC995" s="4"/>
      <c r="AD995" s="4"/>
    </row>
    <row r="996" spans="1:30" ht="15.75" customHeight="1" x14ac:dyDescent="0.2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6"/>
      <c r="AA996" s="6"/>
      <c r="AB996" s="4"/>
      <c r="AC996" s="4"/>
      <c r="AD996" s="4"/>
    </row>
    <row r="997" spans="1:30" ht="15.75" customHeight="1" x14ac:dyDescent="0.2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6"/>
      <c r="AA997" s="6"/>
      <c r="AB997" s="4"/>
      <c r="AC997" s="4"/>
      <c r="AD997" s="4"/>
    </row>
    <row r="998" spans="1:30" ht="15.75" customHeight="1" x14ac:dyDescent="0.2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6"/>
      <c r="AA998" s="6"/>
      <c r="AB998" s="4"/>
      <c r="AC998" s="4"/>
      <c r="AD998" s="4"/>
    </row>
    <row r="999" spans="1:30" ht="15.75" customHeight="1" x14ac:dyDescent="0.2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6"/>
      <c r="AA999" s="6"/>
      <c r="AB999" s="4"/>
      <c r="AC999" s="4"/>
      <c r="AD999" s="4"/>
    </row>
    <row r="1000" spans="1:30" ht="15.75" customHeight="1" x14ac:dyDescent="0.2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6"/>
      <c r="AA1000" s="6"/>
      <c r="AB1000" s="4"/>
      <c r="AC1000" s="4"/>
      <c r="AD1000" s="4"/>
    </row>
    <row r="1001" spans="1:30" ht="15.75" customHeight="1" x14ac:dyDescent="0.2">
      <c r="A1001" s="6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6"/>
      <c r="AA1001" s="6"/>
      <c r="AB1001" s="4"/>
      <c r="AC1001" s="4"/>
      <c r="AD1001" s="4"/>
    </row>
    <row r="1002" spans="1:30" ht="15.75" customHeight="1" x14ac:dyDescent="0.2">
      <c r="A1002" s="6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6"/>
      <c r="AA1002" s="6"/>
      <c r="AB1002" s="4"/>
      <c r="AC1002" s="4"/>
      <c r="AD1002" s="4"/>
    </row>
    <row r="1003" spans="1:30" ht="15.75" customHeight="1" x14ac:dyDescent="0.2">
      <c r="A1003" s="6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6"/>
      <c r="AA1003" s="6"/>
      <c r="AB1003" s="4"/>
      <c r="AC1003" s="4"/>
      <c r="AD1003" s="4"/>
    </row>
    <row r="1004" spans="1:30" ht="15.75" customHeight="1" x14ac:dyDescent="0.2">
      <c r="A1004" s="6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6"/>
      <c r="AA1004" s="6"/>
      <c r="AB1004" s="4"/>
      <c r="AC1004" s="4"/>
      <c r="AD1004" s="4"/>
    </row>
    <row r="1005" spans="1:30" ht="15.75" customHeight="1" x14ac:dyDescent="0.2">
      <c r="A1005" s="6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6"/>
      <c r="AA1005" s="6"/>
      <c r="AB1005" s="4"/>
      <c r="AC1005" s="4"/>
      <c r="AD1005" s="4"/>
    </row>
    <row r="1006" spans="1:30" ht="15.75" customHeight="1" x14ac:dyDescent="0.2">
      <c r="A1006" s="6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6"/>
      <c r="AA1006" s="6"/>
      <c r="AB1006" s="4"/>
      <c r="AC1006" s="4"/>
      <c r="AD1006" s="4"/>
    </row>
    <row r="1007" spans="1:30" ht="15.75" customHeight="1" x14ac:dyDescent="0.2">
      <c r="A1007" s="6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6"/>
      <c r="AA1007" s="6"/>
      <c r="AB1007" s="4"/>
      <c r="AC1007" s="4"/>
      <c r="AD1007" s="4"/>
    </row>
    <row r="1008" spans="1:30" ht="15.75" customHeight="1" x14ac:dyDescent="0.2">
      <c r="A1008" s="6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6"/>
      <c r="AA1008" s="6"/>
      <c r="AB1008" s="4"/>
      <c r="AC1008" s="4"/>
      <c r="AD1008" s="4"/>
    </row>
    <row r="1009" spans="1:30" ht="15.75" customHeight="1" x14ac:dyDescent="0.2">
      <c r="A1009" s="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6"/>
      <c r="AA1009" s="6"/>
      <c r="AB1009" s="4"/>
      <c r="AC1009" s="4"/>
      <c r="AD1009" s="4"/>
    </row>
    <row r="1010" spans="1:30" ht="15.75" customHeight="1" x14ac:dyDescent="0.2">
      <c r="A1010" s="6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6"/>
      <c r="AA1010" s="6"/>
      <c r="AB1010" s="4"/>
      <c r="AC1010" s="4"/>
      <c r="AD1010" s="4"/>
    </row>
    <row r="1011" spans="1:30" ht="15.75" customHeight="1" x14ac:dyDescent="0.2">
      <c r="A1011" s="6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6"/>
      <c r="AA1011" s="6"/>
      <c r="AB1011" s="4"/>
      <c r="AC1011" s="4"/>
      <c r="AD1011" s="4"/>
    </row>
    <row r="1012" spans="1:30" ht="15.75" customHeight="1" x14ac:dyDescent="0.2">
      <c r="A1012" s="6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6"/>
      <c r="AA1012" s="6"/>
      <c r="AB1012" s="4"/>
      <c r="AC1012" s="4"/>
      <c r="AD1012" s="4"/>
    </row>
    <row r="1013" spans="1:30" ht="15.75" customHeight="1" x14ac:dyDescent="0.2">
      <c r="A1013" s="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6"/>
      <c r="AA1013" s="6"/>
      <c r="AB1013" s="4"/>
      <c r="AC1013" s="4"/>
      <c r="AD1013" s="4"/>
    </row>
    <row r="1014" spans="1:30" ht="15.75" customHeight="1" x14ac:dyDescent="0.2">
      <c r="A1014" s="6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6"/>
      <c r="AA1014" s="6"/>
      <c r="AB1014" s="4"/>
      <c r="AC1014" s="4"/>
      <c r="AD1014" s="4"/>
    </row>
    <row r="1015" spans="1:30" ht="15.75" customHeight="1" x14ac:dyDescent="0.2">
      <c r="A1015" s="6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6"/>
      <c r="AA1015" s="6"/>
      <c r="AB1015" s="4"/>
      <c r="AC1015" s="4"/>
      <c r="AD1015" s="4"/>
    </row>
    <row r="1016" spans="1:30" ht="15.75" customHeight="1" x14ac:dyDescent="0.2">
      <c r="A1016" s="6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6"/>
      <c r="AA1016" s="6"/>
      <c r="AB1016" s="4"/>
      <c r="AC1016" s="4"/>
      <c r="AD1016" s="4"/>
    </row>
  </sheetData>
  <pageMargins left="0.7" right="0.7" top="0.75" bottom="0.75" header="0" footer="0"/>
  <pageSetup scale="46" fitToWidth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CC97-FC94-4FCB-BBDC-62FC81A6D21A}">
  <dimension ref="A1:H1027"/>
  <sheetViews>
    <sheetView topLeftCell="A24" workbookViewId="0">
      <selection activeCell="I47" sqref="I47"/>
    </sheetView>
  </sheetViews>
  <sheetFormatPr defaultRowHeight="15.75" x14ac:dyDescent="0.25"/>
  <cols>
    <col min="1" max="1" width="37.42578125" style="5" bestFit="1" customWidth="1"/>
    <col min="2" max="2" width="10.5703125" style="4" bestFit="1" customWidth="1"/>
    <col min="3" max="3" width="15.5703125" style="4" bestFit="1" customWidth="1"/>
    <col min="4" max="4" width="8.42578125" style="5" bestFit="1" customWidth="1"/>
    <col min="5" max="5" width="22.140625" style="5" bestFit="1" customWidth="1"/>
    <col min="6" max="6" width="39.140625" style="5" bestFit="1" customWidth="1"/>
    <col min="7" max="7" width="18.5703125" bestFit="1" customWidth="1"/>
    <col min="8" max="8" width="43.28515625" bestFit="1" customWidth="1"/>
  </cols>
  <sheetData>
    <row r="1" spans="1:8" ht="18.75" thickBot="1" x14ac:dyDescent="0.3">
      <c r="A1" s="22" t="s">
        <v>0</v>
      </c>
      <c r="B1" s="23" t="s">
        <v>1</v>
      </c>
      <c r="C1" s="23" t="s">
        <v>100</v>
      </c>
      <c r="D1" s="23" t="s">
        <v>2</v>
      </c>
      <c r="E1" s="23" t="s">
        <v>71</v>
      </c>
      <c r="F1" s="23" t="s">
        <v>79</v>
      </c>
      <c r="G1" s="23" t="s">
        <v>72</v>
      </c>
      <c r="H1" s="49" t="s">
        <v>20</v>
      </c>
    </row>
    <row r="2" spans="1:8" x14ac:dyDescent="0.25">
      <c r="A2" s="56" t="s">
        <v>77</v>
      </c>
      <c r="B2" s="31" t="s">
        <v>68</v>
      </c>
      <c r="C2" s="31" t="s">
        <v>101</v>
      </c>
      <c r="D2" s="31" t="s">
        <v>70</v>
      </c>
      <c r="E2" s="48">
        <v>81.88</v>
      </c>
      <c r="F2" s="48">
        <v>12.213535589999999</v>
      </c>
      <c r="G2" s="31">
        <v>82</v>
      </c>
      <c r="H2" s="57"/>
    </row>
    <row r="3" spans="1:8" x14ac:dyDescent="0.25">
      <c r="A3" s="50" t="s">
        <v>76</v>
      </c>
      <c r="B3" s="18" t="s">
        <v>68</v>
      </c>
      <c r="C3" s="18" t="s">
        <v>101</v>
      </c>
      <c r="D3" s="18" t="s">
        <v>70</v>
      </c>
      <c r="E3" s="25">
        <v>82.4</v>
      </c>
      <c r="F3" s="25">
        <v>12.124179870000001</v>
      </c>
      <c r="G3" s="18">
        <v>60</v>
      </c>
      <c r="H3" s="51"/>
    </row>
    <row r="4" spans="1:8" x14ac:dyDescent="0.25">
      <c r="A4" s="50" t="s">
        <v>73</v>
      </c>
      <c r="B4" s="18" t="s">
        <v>30</v>
      </c>
      <c r="C4" s="18" t="s">
        <v>101</v>
      </c>
      <c r="D4" s="18" t="s">
        <v>70</v>
      </c>
      <c r="E4" s="25">
        <v>16.22</v>
      </c>
      <c r="F4" s="25">
        <v>61.64172602</v>
      </c>
      <c r="G4" s="18">
        <v>82</v>
      </c>
      <c r="H4" s="51"/>
    </row>
    <row r="5" spans="1:8" x14ac:dyDescent="0.25">
      <c r="A5" s="50" t="s">
        <v>74</v>
      </c>
      <c r="B5" s="18" t="s">
        <v>69</v>
      </c>
      <c r="C5" s="18" t="s">
        <v>101</v>
      </c>
      <c r="D5" s="18" t="s">
        <v>70</v>
      </c>
      <c r="E5" s="25">
        <v>6.64</v>
      </c>
      <c r="F5" s="25">
        <v>150.65861150000001</v>
      </c>
      <c r="G5" s="18">
        <v>80</v>
      </c>
      <c r="H5" s="51"/>
    </row>
    <row r="6" spans="1:8" x14ac:dyDescent="0.25">
      <c r="A6" s="50" t="s">
        <v>75</v>
      </c>
      <c r="B6" s="18" t="s">
        <v>28</v>
      </c>
      <c r="C6" s="18" t="s">
        <v>101</v>
      </c>
      <c r="D6" s="18" t="s">
        <v>70</v>
      </c>
      <c r="E6" s="25">
        <v>24.14</v>
      </c>
      <c r="F6" s="25">
        <v>41.443781199999997</v>
      </c>
      <c r="G6" s="18">
        <v>60</v>
      </c>
      <c r="H6" s="51"/>
    </row>
    <row r="7" spans="1:8" x14ac:dyDescent="0.25">
      <c r="A7" s="50" t="s">
        <v>93</v>
      </c>
      <c r="B7" s="18" t="s">
        <v>68</v>
      </c>
      <c r="C7" s="18" t="s">
        <v>101</v>
      </c>
      <c r="D7" s="18" t="s">
        <v>78</v>
      </c>
      <c r="E7" s="25">
        <v>29.84</v>
      </c>
      <c r="F7" s="25">
        <v>34.218980930000001</v>
      </c>
      <c r="G7" s="18">
        <v>39</v>
      </c>
      <c r="H7" s="51"/>
    </row>
    <row r="8" spans="1:8" x14ac:dyDescent="0.25">
      <c r="A8" s="50" t="s">
        <v>94</v>
      </c>
      <c r="B8" s="18" t="s">
        <v>69</v>
      </c>
      <c r="C8" s="18" t="s">
        <v>101</v>
      </c>
      <c r="D8" s="18" t="s">
        <v>78</v>
      </c>
      <c r="E8" s="25">
        <v>72.2</v>
      </c>
      <c r="F8" s="25">
        <v>14.134989450000001</v>
      </c>
      <c r="G8" s="18">
        <v>44</v>
      </c>
      <c r="H8" s="51"/>
    </row>
    <row r="9" spans="1:8" x14ac:dyDescent="0.25">
      <c r="A9" s="50" t="s">
        <v>95</v>
      </c>
      <c r="B9" s="18" t="s">
        <v>68</v>
      </c>
      <c r="C9" s="18" t="s">
        <v>101</v>
      </c>
      <c r="D9" s="18" t="s">
        <v>78</v>
      </c>
      <c r="E9" s="25">
        <v>22.08</v>
      </c>
      <c r="F9" s="25">
        <v>46.296962039999997</v>
      </c>
      <c r="G9" s="18">
        <v>38</v>
      </c>
      <c r="H9" s="51"/>
    </row>
    <row r="10" spans="1:8" x14ac:dyDescent="0.25">
      <c r="A10" s="50" t="s">
        <v>96</v>
      </c>
      <c r="B10" s="18" t="s">
        <v>69</v>
      </c>
      <c r="C10" s="18" t="s">
        <v>101</v>
      </c>
      <c r="D10" s="18" t="s">
        <v>78</v>
      </c>
      <c r="E10" s="25">
        <v>36.799999999999997</v>
      </c>
      <c r="F10" s="25">
        <v>27.717903669999998</v>
      </c>
      <c r="G10" s="18">
        <v>30</v>
      </c>
      <c r="H10" s="51"/>
    </row>
    <row r="11" spans="1:8" x14ac:dyDescent="0.25">
      <c r="A11" s="50" t="s">
        <v>97</v>
      </c>
      <c r="B11" s="18" t="s">
        <v>28</v>
      </c>
      <c r="C11" s="18" t="s">
        <v>101</v>
      </c>
      <c r="D11" s="18" t="s">
        <v>78</v>
      </c>
      <c r="E11" s="25">
        <v>47.66</v>
      </c>
      <c r="F11" s="25">
        <v>21.430316489999999</v>
      </c>
      <c r="G11" s="18">
        <v>35</v>
      </c>
      <c r="H11" s="51"/>
    </row>
    <row r="12" spans="1:8" x14ac:dyDescent="0.25">
      <c r="A12" s="50" t="s">
        <v>98</v>
      </c>
      <c r="B12" s="18" t="s">
        <v>30</v>
      </c>
      <c r="C12" s="18" t="s">
        <v>101</v>
      </c>
      <c r="D12" s="18" t="s">
        <v>78</v>
      </c>
      <c r="E12" s="25">
        <v>66.64</v>
      </c>
      <c r="F12" s="25">
        <v>15.40953665</v>
      </c>
      <c r="G12" s="18">
        <v>25</v>
      </c>
      <c r="H12" s="51"/>
    </row>
    <row r="13" spans="1:8" x14ac:dyDescent="0.25">
      <c r="A13" s="52" t="s">
        <v>80</v>
      </c>
      <c r="B13" s="26" t="s">
        <v>68</v>
      </c>
      <c r="C13" s="26" t="s">
        <v>101</v>
      </c>
      <c r="D13" s="26" t="s">
        <v>56</v>
      </c>
      <c r="E13" s="27">
        <v>21.64</v>
      </c>
      <c r="F13" s="27">
        <v>47.209470140000001</v>
      </c>
      <c r="G13" s="26">
        <v>21</v>
      </c>
      <c r="H13" s="51" t="s">
        <v>103</v>
      </c>
    </row>
    <row r="14" spans="1:8" x14ac:dyDescent="0.25">
      <c r="A14" s="52" t="s">
        <v>81</v>
      </c>
      <c r="B14" s="26" t="s">
        <v>23</v>
      </c>
      <c r="C14" s="26" t="s">
        <v>101</v>
      </c>
      <c r="D14" s="26" t="s">
        <v>56</v>
      </c>
      <c r="E14" s="27">
        <v>17.82</v>
      </c>
      <c r="F14" s="27">
        <v>60.974417969999998</v>
      </c>
      <c r="G14" s="26">
        <v>50</v>
      </c>
      <c r="H14" s="51"/>
    </row>
    <row r="15" spans="1:8" x14ac:dyDescent="0.25">
      <c r="A15" s="52" t="s">
        <v>82</v>
      </c>
      <c r="B15" s="26" t="s">
        <v>30</v>
      </c>
      <c r="C15" s="26" t="s">
        <v>101</v>
      </c>
      <c r="D15" s="26" t="s">
        <v>56</v>
      </c>
      <c r="E15" s="27">
        <v>16.079999999999998</v>
      </c>
      <c r="F15" s="27">
        <v>67.044977020000005</v>
      </c>
      <c r="G15" s="26">
        <v>29</v>
      </c>
      <c r="H15" s="51"/>
    </row>
    <row r="16" spans="1:8" x14ac:dyDescent="0.25">
      <c r="A16" s="52" t="s">
        <v>83</v>
      </c>
      <c r="B16" s="26" t="s">
        <v>68</v>
      </c>
      <c r="C16" s="26" t="s">
        <v>101</v>
      </c>
      <c r="D16" s="26" t="s">
        <v>56</v>
      </c>
      <c r="E16" s="27">
        <v>15.35</v>
      </c>
      <c r="F16" s="27">
        <v>74.591627610000003</v>
      </c>
      <c r="G16" s="26">
        <v>109</v>
      </c>
      <c r="H16" s="51"/>
    </row>
    <row r="17" spans="1:8" x14ac:dyDescent="0.25">
      <c r="A17" s="50" t="s">
        <v>84</v>
      </c>
      <c r="B17" s="18" t="s">
        <v>92</v>
      </c>
      <c r="C17" s="18" t="s">
        <v>101</v>
      </c>
      <c r="D17" s="18" t="s">
        <v>56</v>
      </c>
      <c r="E17" s="25">
        <v>28.85</v>
      </c>
      <c r="F17" s="25">
        <v>38.672423899999998</v>
      </c>
      <c r="G17" s="18">
        <v>82</v>
      </c>
      <c r="H17" s="51"/>
    </row>
    <row r="18" spans="1:8" x14ac:dyDescent="0.25">
      <c r="A18" s="50" t="s">
        <v>85</v>
      </c>
      <c r="B18" s="18" t="s">
        <v>28</v>
      </c>
      <c r="C18" s="18" t="s">
        <v>101</v>
      </c>
      <c r="D18" s="18" t="s">
        <v>56</v>
      </c>
      <c r="E18" s="25">
        <v>47.8</v>
      </c>
      <c r="F18" s="25">
        <v>21.063361050000001</v>
      </c>
      <c r="G18" s="18">
        <v>66</v>
      </c>
      <c r="H18" s="51"/>
    </row>
    <row r="19" spans="1:8" x14ac:dyDescent="0.25">
      <c r="A19" s="50" t="s">
        <v>86</v>
      </c>
      <c r="B19" s="18" t="s">
        <v>30</v>
      </c>
      <c r="C19" s="18" t="s">
        <v>101</v>
      </c>
      <c r="D19" s="18" t="s">
        <v>56</v>
      </c>
      <c r="E19" s="25">
        <v>25.15</v>
      </c>
      <c r="F19" s="25">
        <v>42.115769350000001</v>
      </c>
      <c r="G19" s="18">
        <v>60</v>
      </c>
      <c r="H19" s="51"/>
    </row>
    <row r="20" spans="1:8" x14ac:dyDescent="0.25">
      <c r="A20" s="50" t="s">
        <v>87</v>
      </c>
      <c r="B20" s="18" t="s">
        <v>69</v>
      </c>
      <c r="C20" s="18" t="s">
        <v>101</v>
      </c>
      <c r="D20" s="18" t="s">
        <v>56</v>
      </c>
      <c r="E20" s="25">
        <v>94.84</v>
      </c>
      <c r="F20" s="25">
        <v>10.91848691</v>
      </c>
      <c r="G20" s="18">
        <v>68</v>
      </c>
      <c r="H20" s="51"/>
    </row>
    <row r="21" spans="1:8" x14ac:dyDescent="0.25">
      <c r="A21" s="50" t="s">
        <v>88</v>
      </c>
      <c r="B21" s="18" t="s">
        <v>92</v>
      </c>
      <c r="C21" s="18" t="s">
        <v>101</v>
      </c>
      <c r="D21" s="18" t="s">
        <v>56</v>
      </c>
      <c r="E21" s="25">
        <v>62.89</v>
      </c>
      <c r="F21" s="25">
        <v>15.60627057</v>
      </c>
      <c r="G21" s="18">
        <v>61</v>
      </c>
      <c r="H21" s="51"/>
    </row>
    <row r="22" spans="1:8" x14ac:dyDescent="0.25">
      <c r="A22" s="50" t="s">
        <v>89</v>
      </c>
      <c r="B22" s="18" t="s">
        <v>28</v>
      </c>
      <c r="C22" s="18" t="s">
        <v>101</v>
      </c>
      <c r="D22" s="18" t="s">
        <v>56</v>
      </c>
      <c r="E22" s="25">
        <v>85.27</v>
      </c>
      <c r="F22" s="25">
        <v>10.926447080000001</v>
      </c>
      <c r="G22" s="18">
        <v>69</v>
      </c>
      <c r="H22" s="51"/>
    </row>
    <row r="23" spans="1:8" x14ac:dyDescent="0.25">
      <c r="A23" s="50" t="s">
        <v>90</v>
      </c>
      <c r="B23" s="18" t="s">
        <v>91</v>
      </c>
      <c r="C23" s="18" t="s">
        <v>101</v>
      </c>
      <c r="D23" s="18" t="s">
        <v>56</v>
      </c>
      <c r="E23" s="25">
        <v>45.19</v>
      </c>
      <c r="F23" s="25">
        <v>28.874728959999999</v>
      </c>
      <c r="G23" s="18">
        <v>56</v>
      </c>
      <c r="H23" s="51"/>
    </row>
    <row r="24" spans="1:8" x14ac:dyDescent="0.25">
      <c r="A24" s="50" t="s">
        <v>102</v>
      </c>
      <c r="B24" s="18" t="s">
        <v>68</v>
      </c>
      <c r="C24" s="18" t="s">
        <v>104</v>
      </c>
      <c r="D24" s="18" t="s">
        <v>99</v>
      </c>
      <c r="E24" s="25">
        <v>40.72</v>
      </c>
      <c r="F24" s="25">
        <v>13.36844947</v>
      </c>
      <c r="G24" s="18">
        <v>83</v>
      </c>
      <c r="H24" s="51"/>
    </row>
    <row r="25" spans="1:8" x14ac:dyDescent="0.25">
      <c r="A25" s="50" t="s">
        <v>106</v>
      </c>
      <c r="B25" s="18" t="s">
        <v>30</v>
      </c>
      <c r="C25" s="18" t="s">
        <v>101</v>
      </c>
      <c r="D25" s="18" t="s">
        <v>113</v>
      </c>
      <c r="E25" s="25">
        <v>20.85</v>
      </c>
      <c r="F25" s="25">
        <v>53.115910960000001</v>
      </c>
      <c r="G25" s="18">
        <v>160</v>
      </c>
      <c r="H25" s="51"/>
    </row>
    <row r="26" spans="1:8" x14ac:dyDescent="0.25">
      <c r="A26" s="50" t="s">
        <v>107</v>
      </c>
      <c r="B26" s="18" t="s">
        <v>28</v>
      </c>
      <c r="C26" s="18" t="s">
        <v>101</v>
      </c>
      <c r="D26" s="18" t="s">
        <v>113</v>
      </c>
      <c r="E26" s="25">
        <v>12.47</v>
      </c>
      <c r="F26" s="25">
        <v>88.588996730000005</v>
      </c>
      <c r="G26" s="18">
        <v>196</v>
      </c>
      <c r="H26" s="51"/>
    </row>
    <row r="27" spans="1:8" x14ac:dyDescent="0.25">
      <c r="A27" s="50" t="s">
        <v>108</v>
      </c>
      <c r="B27" s="18" t="s">
        <v>23</v>
      </c>
      <c r="C27" s="18" t="s">
        <v>101</v>
      </c>
      <c r="D27" s="18" t="s">
        <v>113</v>
      </c>
      <c r="E27" s="25">
        <v>20.82</v>
      </c>
      <c r="F27" s="25">
        <v>53.759813399999999</v>
      </c>
      <c r="G27" s="18">
        <v>169</v>
      </c>
      <c r="H27" s="51"/>
    </row>
    <row r="28" spans="1:8" x14ac:dyDescent="0.25">
      <c r="A28" s="50" t="s">
        <v>109</v>
      </c>
      <c r="B28" s="18" t="s">
        <v>33</v>
      </c>
      <c r="C28" s="18" t="s">
        <v>101</v>
      </c>
      <c r="D28" s="18" t="s">
        <v>113</v>
      </c>
      <c r="E28" s="25">
        <v>10</v>
      </c>
      <c r="F28" s="25">
        <v>110.16279419999999</v>
      </c>
      <c r="G28" s="18">
        <v>88</v>
      </c>
      <c r="H28" s="51"/>
    </row>
    <row r="29" spans="1:8" x14ac:dyDescent="0.25">
      <c r="A29" s="50" t="s">
        <v>110</v>
      </c>
      <c r="B29" s="18" t="s">
        <v>111</v>
      </c>
      <c r="C29" s="18" t="s">
        <v>101</v>
      </c>
      <c r="D29" s="18" t="s">
        <v>113</v>
      </c>
      <c r="E29" s="25">
        <v>13.38</v>
      </c>
      <c r="F29" s="25">
        <v>82.281431749999996</v>
      </c>
      <c r="G29" s="18">
        <v>143</v>
      </c>
      <c r="H29" s="51"/>
    </row>
    <row r="30" spans="1:8" x14ac:dyDescent="0.25">
      <c r="A30" s="50" t="s">
        <v>114</v>
      </c>
      <c r="B30" s="18" t="s">
        <v>30</v>
      </c>
      <c r="C30" s="18" t="s">
        <v>101</v>
      </c>
      <c r="D30" s="18" t="s">
        <v>135</v>
      </c>
      <c r="E30" s="25">
        <v>80.34</v>
      </c>
      <c r="F30" s="25">
        <v>11.533982890000001</v>
      </c>
      <c r="G30" s="18">
        <v>15.6</v>
      </c>
      <c r="H30" s="51"/>
    </row>
    <row r="31" spans="1:8" x14ac:dyDescent="0.25">
      <c r="A31" s="50" t="s">
        <v>117</v>
      </c>
      <c r="B31" s="18" t="s">
        <v>68</v>
      </c>
      <c r="C31" s="18" t="s">
        <v>104</v>
      </c>
      <c r="D31" s="18" t="s">
        <v>40</v>
      </c>
      <c r="E31" s="25">
        <v>29.52</v>
      </c>
      <c r="F31" s="25">
        <v>36.062011929999997</v>
      </c>
      <c r="G31" s="18">
        <v>10.3</v>
      </c>
      <c r="H31" s="51"/>
    </row>
    <row r="32" spans="1:8" x14ac:dyDescent="0.25">
      <c r="A32" s="50" t="s">
        <v>118</v>
      </c>
      <c r="B32" s="18" t="s">
        <v>30</v>
      </c>
      <c r="C32" s="18" t="s">
        <v>104</v>
      </c>
      <c r="D32" s="18" t="s">
        <v>40</v>
      </c>
      <c r="E32" s="25">
        <v>32.28</v>
      </c>
      <c r="F32" s="25">
        <v>31.507348159999999</v>
      </c>
      <c r="G32" s="18">
        <v>62</v>
      </c>
      <c r="H32" s="51"/>
    </row>
    <row r="33" spans="1:8" x14ac:dyDescent="0.25">
      <c r="A33" s="50" t="s">
        <v>105</v>
      </c>
      <c r="B33" s="18" t="s">
        <v>30</v>
      </c>
      <c r="C33" s="18" t="s">
        <v>104</v>
      </c>
      <c r="D33" s="18" t="s">
        <v>70</v>
      </c>
      <c r="E33" s="25">
        <v>12.58</v>
      </c>
      <c r="F33" s="25">
        <v>85.925184509999994</v>
      </c>
      <c r="G33" s="18">
        <v>25</v>
      </c>
      <c r="H33" s="51"/>
    </row>
    <row r="34" spans="1:8" x14ac:dyDescent="0.25">
      <c r="A34" s="50" t="s">
        <v>132</v>
      </c>
      <c r="B34" s="18" t="s">
        <v>92</v>
      </c>
      <c r="C34" s="18" t="s">
        <v>101</v>
      </c>
      <c r="D34" s="18" t="s">
        <v>34</v>
      </c>
      <c r="E34" s="25">
        <v>37.65</v>
      </c>
      <c r="F34" s="25">
        <v>27.116297500000002</v>
      </c>
      <c r="G34" s="18">
        <v>39.200000000000003</v>
      </c>
      <c r="H34" s="51"/>
    </row>
    <row r="35" spans="1:8" x14ac:dyDescent="0.25">
      <c r="A35" s="50" t="s">
        <v>134</v>
      </c>
      <c r="B35" s="18" t="s">
        <v>92</v>
      </c>
      <c r="C35" s="18" t="s">
        <v>101</v>
      </c>
      <c r="D35" s="18" t="s">
        <v>34</v>
      </c>
      <c r="E35" s="25">
        <v>20.77</v>
      </c>
      <c r="F35" s="25">
        <v>50.428910109999997</v>
      </c>
      <c r="G35" s="18">
        <v>16.7</v>
      </c>
      <c r="H35" s="51"/>
    </row>
    <row r="36" spans="1:8" x14ac:dyDescent="0.25">
      <c r="A36" s="50" t="s">
        <v>133</v>
      </c>
      <c r="B36" s="18" t="s">
        <v>28</v>
      </c>
      <c r="C36" s="18" t="s">
        <v>101</v>
      </c>
      <c r="D36" s="18" t="s">
        <v>34</v>
      </c>
      <c r="E36" s="25">
        <v>30.23</v>
      </c>
      <c r="F36" s="25">
        <v>31.868940009999999</v>
      </c>
      <c r="G36" s="18">
        <v>47.5</v>
      </c>
      <c r="H36" s="51"/>
    </row>
    <row r="37" spans="1:8" x14ac:dyDescent="0.25">
      <c r="A37" s="50"/>
      <c r="B37" s="18"/>
      <c r="C37" s="18"/>
      <c r="D37" s="18"/>
      <c r="E37" s="25"/>
      <c r="F37" s="25"/>
      <c r="G37" s="18"/>
      <c r="H37" s="51"/>
    </row>
    <row r="38" spans="1:8" x14ac:dyDescent="0.25">
      <c r="A38" s="50"/>
      <c r="B38" s="18"/>
      <c r="C38" s="18"/>
      <c r="D38" s="18"/>
      <c r="E38" s="25"/>
      <c r="F38" s="25"/>
      <c r="G38" s="18"/>
      <c r="H38" s="51"/>
    </row>
    <row r="39" spans="1:8" ht="16.5" thickBot="1" x14ac:dyDescent="0.3">
      <c r="A39" s="53"/>
      <c r="B39" s="44"/>
      <c r="C39" s="44"/>
      <c r="D39" s="44"/>
      <c r="E39" s="54"/>
      <c r="F39" s="54"/>
      <c r="G39" s="44"/>
      <c r="H39" s="55"/>
    </row>
    <row r="40" spans="1:8" x14ac:dyDescent="0.25">
      <c r="A40" s="6"/>
      <c r="D40" s="4"/>
      <c r="E40" s="10"/>
      <c r="F40" s="10"/>
      <c r="G40" s="4"/>
    </row>
    <row r="41" spans="1:8" x14ac:dyDescent="0.25">
      <c r="A41" s="6"/>
      <c r="D41" s="4"/>
      <c r="E41" s="10"/>
      <c r="F41" s="10"/>
      <c r="G41" s="4"/>
    </row>
    <row r="42" spans="1:8" x14ac:dyDescent="0.25">
      <c r="A42" s="6"/>
      <c r="D42" s="4"/>
      <c r="E42" s="10"/>
      <c r="F42" s="10"/>
      <c r="G42" s="4"/>
    </row>
    <row r="43" spans="1:8" ht="16.5" thickBot="1" x14ac:dyDescent="0.3">
      <c r="A43" s="6"/>
      <c r="D43" s="7"/>
      <c r="E43" s="8"/>
      <c r="F43" s="8"/>
    </row>
    <row r="44" spans="1:8" ht="27" thickBot="1" x14ac:dyDescent="0.45">
      <c r="A44" s="24" t="s">
        <v>51</v>
      </c>
      <c r="D44" s="7"/>
      <c r="E44" s="7"/>
      <c r="F44" s="7"/>
    </row>
    <row r="45" spans="1:8" ht="16.5" thickBot="1" x14ac:dyDescent="0.3">
      <c r="A45" s="6"/>
      <c r="D45" s="7"/>
      <c r="E45" s="7"/>
      <c r="F45" s="7"/>
    </row>
    <row r="46" spans="1:8" ht="18.75" thickBot="1" x14ac:dyDescent="0.3">
      <c r="A46" s="35" t="s">
        <v>52</v>
      </c>
      <c r="B46" s="23" t="s">
        <v>53</v>
      </c>
      <c r="C46" s="36" t="s">
        <v>100</v>
      </c>
      <c r="D46" s="37" t="s">
        <v>2</v>
      </c>
      <c r="E46" s="37" t="s">
        <v>71</v>
      </c>
      <c r="F46" s="37" t="s">
        <v>79</v>
      </c>
      <c r="G46" s="38" t="s">
        <v>72</v>
      </c>
    </row>
    <row r="47" spans="1:8" x14ac:dyDescent="0.25">
      <c r="A47" s="39">
        <v>0</v>
      </c>
      <c r="B47" s="31">
        <v>0</v>
      </c>
      <c r="C47" s="32"/>
      <c r="D47" s="33" t="s">
        <v>65</v>
      </c>
      <c r="E47" s="34"/>
      <c r="F47" s="34"/>
      <c r="G47" s="40"/>
    </row>
    <row r="48" spans="1:8" x14ac:dyDescent="0.25">
      <c r="A48" s="41">
        <v>1</v>
      </c>
      <c r="B48" s="18">
        <v>5</v>
      </c>
      <c r="C48" s="30"/>
      <c r="D48" s="28" t="s">
        <v>64</v>
      </c>
      <c r="E48" s="29">
        <f>AVERAGE(E25:E29)</f>
        <v>15.504</v>
      </c>
      <c r="F48" s="29">
        <f t="shared" ref="F48:G48" si="0">AVERAGE(F25:F29)</f>
        <v>77.581789408000006</v>
      </c>
      <c r="G48" s="29">
        <f t="shared" si="0"/>
        <v>151.19999999999999</v>
      </c>
    </row>
    <row r="49" spans="1:7" x14ac:dyDescent="0.25">
      <c r="A49" s="41">
        <v>0</v>
      </c>
      <c r="B49" s="18">
        <v>0</v>
      </c>
      <c r="C49" s="30"/>
      <c r="D49" s="28" t="s">
        <v>63</v>
      </c>
      <c r="E49" s="29"/>
      <c r="F49" s="29"/>
      <c r="G49" s="42"/>
    </row>
    <row r="50" spans="1:7" x14ac:dyDescent="0.25">
      <c r="A50" s="41">
        <v>3</v>
      </c>
      <c r="B50" s="18">
        <v>8</v>
      </c>
      <c r="C50" s="30"/>
      <c r="D50" s="28" t="s">
        <v>54</v>
      </c>
      <c r="E50" s="29">
        <f>AVERAGE(E2:E6,E31:E33)</f>
        <v>35.707499999999996</v>
      </c>
      <c r="F50" s="29">
        <f t="shared" ref="F50:G50" si="1">AVERAGE(F2:F6,F31:F33)</f>
        <v>53.947047347499996</v>
      </c>
      <c r="G50" s="29">
        <f t="shared" si="1"/>
        <v>57.662500000000001</v>
      </c>
    </row>
    <row r="51" spans="1:7" x14ac:dyDescent="0.25">
      <c r="A51" s="41">
        <v>1</v>
      </c>
      <c r="B51" s="18">
        <v>3</v>
      </c>
      <c r="C51" s="30"/>
      <c r="D51" s="28" t="s">
        <v>66</v>
      </c>
      <c r="E51" s="29">
        <f>AVERAGE(E34:E36)</f>
        <v>29.55</v>
      </c>
      <c r="F51" s="29">
        <f t="shared" ref="F51:G51" si="2">AVERAGE(F34:F36)</f>
        <v>36.47138254</v>
      </c>
      <c r="G51" s="29">
        <f t="shared" si="2"/>
        <v>34.466666666666669</v>
      </c>
    </row>
    <row r="52" spans="1:7" ht="16.5" thickBot="1" x14ac:dyDescent="0.3">
      <c r="A52" s="43">
        <v>4</v>
      </c>
      <c r="B52" s="44">
        <v>19</v>
      </c>
      <c r="C52" s="45"/>
      <c r="D52" s="46" t="s">
        <v>67</v>
      </c>
      <c r="E52" s="47">
        <f>AVERAGE(E7:E24,E30)</f>
        <v>45.113684210526316</v>
      </c>
      <c r="F52" s="47">
        <f t="shared" ref="F52:G52" si="3">AVERAGE(F7:F24,F30)</f>
        <v>31.689952744736836</v>
      </c>
      <c r="G52" s="47">
        <f t="shared" si="3"/>
        <v>51.610526315789478</v>
      </c>
    </row>
    <row r="53" spans="1:7" x14ac:dyDescent="0.25">
      <c r="A53" s="6"/>
      <c r="D53" s="7"/>
      <c r="E53" s="7"/>
      <c r="F53" s="7"/>
    </row>
    <row r="54" spans="1:7" x14ac:dyDescent="0.25">
      <c r="A54" s="6"/>
      <c r="D54" s="7"/>
      <c r="E54" s="7"/>
      <c r="F54" s="7"/>
    </row>
    <row r="55" spans="1:7" x14ac:dyDescent="0.25">
      <c r="A55" s="6"/>
      <c r="D55" s="9"/>
      <c r="E55" s="7"/>
      <c r="F55" s="7"/>
    </row>
    <row r="56" spans="1:7" x14ac:dyDescent="0.25">
      <c r="A56" s="6"/>
      <c r="D56" s="9"/>
      <c r="E56" s="7"/>
      <c r="F56" s="7"/>
    </row>
    <row r="57" spans="1:7" x14ac:dyDescent="0.25">
      <c r="A57" s="6"/>
      <c r="D57" s="7"/>
      <c r="E57" s="7"/>
      <c r="F57" s="7"/>
    </row>
    <row r="58" spans="1:7" x14ac:dyDescent="0.25">
      <c r="A58" s="6"/>
      <c r="D58" s="7"/>
      <c r="E58" s="7"/>
      <c r="F58" s="7"/>
    </row>
    <row r="59" spans="1:7" x14ac:dyDescent="0.25">
      <c r="A59" s="6"/>
      <c r="D59" s="7"/>
      <c r="E59" s="7"/>
      <c r="F59" s="7"/>
    </row>
    <row r="60" spans="1:7" x14ac:dyDescent="0.25">
      <c r="A60" s="6"/>
      <c r="D60" s="7"/>
      <c r="E60" s="7"/>
      <c r="F60" s="7"/>
    </row>
    <row r="61" spans="1:7" x14ac:dyDescent="0.25">
      <c r="A61" s="6"/>
      <c r="D61" s="7"/>
      <c r="E61" s="7"/>
      <c r="F61" s="7"/>
    </row>
    <row r="62" spans="1:7" x14ac:dyDescent="0.25">
      <c r="A62" s="6"/>
      <c r="D62" s="7"/>
      <c r="E62" s="7"/>
      <c r="F62" s="7"/>
    </row>
    <row r="63" spans="1:7" x14ac:dyDescent="0.25">
      <c r="A63" s="6"/>
      <c r="D63" s="7"/>
      <c r="E63" s="7"/>
      <c r="F63" s="7"/>
    </row>
    <row r="64" spans="1:7" x14ac:dyDescent="0.25">
      <c r="A64" s="6"/>
      <c r="D64" s="7"/>
      <c r="E64" s="7"/>
      <c r="F64" s="7"/>
    </row>
    <row r="65" spans="1:6" x14ac:dyDescent="0.25">
      <c r="A65" s="6"/>
      <c r="D65" s="7"/>
      <c r="E65" s="7"/>
      <c r="F65" s="7"/>
    </row>
    <row r="66" spans="1:6" x14ac:dyDescent="0.25">
      <c r="A66" s="6"/>
      <c r="D66" s="7"/>
      <c r="E66" s="7"/>
      <c r="F66" s="7"/>
    </row>
    <row r="67" spans="1:6" x14ac:dyDescent="0.25">
      <c r="A67" s="6"/>
      <c r="D67" s="7"/>
      <c r="E67" s="7"/>
      <c r="F67" s="7"/>
    </row>
    <row r="68" spans="1:6" x14ac:dyDescent="0.25">
      <c r="A68" s="6"/>
      <c r="D68" s="7"/>
      <c r="E68" s="7"/>
      <c r="F68" s="7"/>
    </row>
    <row r="69" spans="1:6" x14ac:dyDescent="0.25">
      <c r="A69" s="6"/>
      <c r="D69" s="7"/>
      <c r="E69" s="7"/>
      <c r="F69" s="7"/>
    </row>
    <row r="70" spans="1:6" x14ac:dyDescent="0.25">
      <c r="A70" s="6"/>
      <c r="D70" s="7"/>
      <c r="E70" s="7"/>
      <c r="F70" s="7"/>
    </row>
    <row r="71" spans="1:6" x14ac:dyDescent="0.25">
      <c r="A71" s="6"/>
      <c r="D71" s="7"/>
      <c r="E71" s="7"/>
      <c r="F71" s="7"/>
    </row>
    <row r="72" spans="1:6" x14ac:dyDescent="0.25">
      <c r="A72" s="6"/>
      <c r="D72" s="7"/>
      <c r="E72" s="7"/>
      <c r="F72" s="7"/>
    </row>
    <row r="73" spans="1:6" x14ac:dyDescent="0.25">
      <c r="A73" s="6"/>
      <c r="D73" s="7"/>
      <c r="E73" s="7"/>
      <c r="F73" s="7"/>
    </row>
    <row r="74" spans="1:6" x14ac:dyDescent="0.25">
      <c r="A74" s="6"/>
      <c r="D74" s="7"/>
      <c r="E74" s="7"/>
      <c r="F74" s="7"/>
    </row>
    <row r="75" spans="1:6" x14ac:dyDescent="0.25">
      <c r="A75" s="6"/>
      <c r="D75" s="7"/>
      <c r="E75" s="7"/>
      <c r="F75" s="7"/>
    </row>
    <row r="76" spans="1:6" x14ac:dyDescent="0.25">
      <c r="A76" s="6"/>
      <c r="D76" s="7"/>
      <c r="E76" s="7"/>
      <c r="F76" s="7"/>
    </row>
    <row r="77" spans="1:6" x14ac:dyDescent="0.25">
      <c r="A77" s="6"/>
      <c r="D77" s="7"/>
      <c r="E77" s="7"/>
      <c r="F77" s="7"/>
    </row>
    <row r="78" spans="1:6" x14ac:dyDescent="0.25">
      <c r="A78" s="6"/>
      <c r="D78" s="7"/>
      <c r="E78" s="7"/>
      <c r="F78" s="7"/>
    </row>
    <row r="79" spans="1:6" x14ac:dyDescent="0.25">
      <c r="A79" s="6"/>
      <c r="D79" s="7"/>
      <c r="E79" s="7"/>
      <c r="F79" s="7"/>
    </row>
    <row r="80" spans="1:6" x14ac:dyDescent="0.25">
      <c r="A80" s="6"/>
      <c r="D80" s="7"/>
      <c r="E80" s="7"/>
      <c r="F80" s="7"/>
    </row>
    <row r="81" spans="1:6" x14ac:dyDescent="0.25">
      <c r="A81" s="6"/>
      <c r="D81" s="7"/>
      <c r="E81" s="7"/>
      <c r="F81" s="7"/>
    </row>
    <row r="82" spans="1:6" x14ac:dyDescent="0.25">
      <c r="A82" s="6"/>
      <c r="D82" s="7"/>
      <c r="E82" s="7"/>
      <c r="F82" s="7"/>
    </row>
    <row r="83" spans="1:6" x14ac:dyDescent="0.25">
      <c r="A83" s="6"/>
      <c r="D83" s="7"/>
      <c r="E83" s="7"/>
      <c r="F83" s="7"/>
    </row>
    <row r="84" spans="1:6" x14ac:dyDescent="0.25">
      <c r="A84" s="6"/>
      <c r="D84" s="7"/>
      <c r="E84" s="7"/>
      <c r="F84" s="7"/>
    </row>
    <row r="85" spans="1:6" x14ac:dyDescent="0.25">
      <c r="A85" s="6"/>
      <c r="D85" s="7"/>
      <c r="E85" s="7"/>
      <c r="F85" s="7"/>
    </row>
    <row r="86" spans="1:6" x14ac:dyDescent="0.25">
      <c r="A86" s="6"/>
      <c r="D86" s="7"/>
      <c r="E86" s="7"/>
      <c r="F86" s="7"/>
    </row>
    <row r="87" spans="1:6" x14ac:dyDescent="0.25">
      <c r="A87" s="6"/>
      <c r="D87" s="7"/>
      <c r="E87" s="7"/>
      <c r="F87" s="7"/>
    </row>
    <row r="88" spans="1:6" x14ac:dyDescent="0.25">
      <c r="A88" s="6"/>
      <c r="D88" s="7"/>
      <c r="E88" s="7"/>
      <c r="F88" s="7"/>
    </row>
    <row r="89" spans="1:6" x14ac:dyDescent="0.25">
      <c r="A89" s="6"/>
      <c r="D89" s="7"/>
      <c r="E89" s="7"/>
      <c r="F89" s="7"/>
    </row>
    <row r="90" spans="1:6" x14ac:dyDescent="0.25">
      <c r="A90" s="6"/>
      <c r="D90" s="7"/>
      <c r="E90" s="7"/>
      <c r="F90" s="7"/>
    </row>
    <row r="91" spans="1:6" x14ac:dyDescent="0.25">
      <c r="A91" s="6"/>
      <c r="D91" s="7"/>
      <c r="E91" s="7"/>
      <c r="F91" s="7"/>
    </row>
    <row r="92" spans="1:6" x14ac:dyDescent="0.25">
      <c r="A92" s="6"/>
      <c r="D92" s="7"/>
      <c r="E92" s="7"/>
      <c r="F92" s="7"/>
    </row>
    <row r="93" spans="1:6" x14ac:dyDescent="0.25">
      <c r="A93" s="6"/>
      <c r="D93" s="7"/>
      <c r="E93" s="7"/>
      <c r="F93" s="7"/>
    </row>
    <row r="94" spans="1:6" x14ac:dyDescent="0.25">
      <c r="A94" s="6"/>
      <c r="D94" s="7"/>
      <c r="E94" s="7"/>
      <c r="F94" s="7"/>
    </row>
    <row r="95" spans="1:6" x14ac:dyDescent="0.25">
      <c r="A95" s="6"/>
      <c r="D95" s="7"/>
      <c r="E95" s="7"/>
      <c r="F95" s="7"/>
    </row>
    <row r="96" spans="1:6" x14ac:dyDescent="0.25">
      <c r="A96" s="6"/>
      <c r="D96" s="7"/>
      <c r="E96" s="7"/>
      <c r="F96" s="7"/>
    </row>
    <row r="97" spans="1:6" x14ac:dyDescent="0.25">
      <c r="A97" s="6"/>
      <c r="D97" s="7"/>
      <c r="E97" s="7"/>
      <c r="F97" s="7"/>
    </row>
    <row r="98" spans="1:6" x14ac:dyDescent="0.25">
      <c r="A98" s="6"/>
      <c r="D98" s="7"/>
      <c r="E98" s="7"/>
      <c r="F98" s="7"/>
    </row>
    <row r="99" spans="1:6" x14ac:dyDescent="0.25">
      <c r="A99" s="6"/>
      <c r="D99" s="7"/>
      <c r="E99" s="7"/>
      <c r="F99" s="7"/>
    </row>
    <row r="100" spans="1:6" x14ac:dyDescent="0.25">
      <c r="A100" s="6"/>
      <c r="D100" s="7"/>
      <c r="E100" s="7"/>
      <c r="F100" s="7"/>
    </row>
    <row r="101" spans="1:6" x14ac:dyDescent="0.25">
      <c r="A101" s="6"/>
      <c r="D101" s="7"/>
      <c r="E101" s="7"/>
      <c r="F101" s="7"/>
    </row>
    <row r="102" spans="1:6" x14ac:dyDescent="0.25">
      <c r="A102" s="6"/>
      <c r="D102" s="7"/>
      <c r="E102" s="7"/>
      <c r="F102" s="7"/>
    </row>
    <row r="103" spans="1:6" x14ac:dyDescent="0.25">
      <c r="A103" s="6"/>
      <c r="D103" s="7"/>
      <c r="E103" s="7"/>
      <c r="F103" s="7"/>
    </row>
    <row r="104" spans="1:6" x14ac:dyDescent="0.25">
      <c r="A104" s="6"/>
      <c r="D104" s="7"/>
      <c r="E104" s="7"/>
      <c r="F104" s="7"/>
    </row>
    <row r="105" spans="1:6" x14ac:dyDescent="0.25">
      <c r="A105" s="6"/>
      <c r="D105" s="7"/>
      <c r="E105" s="7"/>
      <c r="F105" s="7"/>
    </row>
    <row r="106" spans="1:6" x14ac:dyDescent="0.25">
      <c r="A106" s="6"/>
      <c r="D106" s="7"/>
      <c r="E106" s="7"/>
      <c r="F106" s="7"/>
    </row>
    <row r="107" spans="1:6" x14ac:dyDescent="0.25">
      <c r="A107" s="6"/>
      <c r="D107" s="7"/>
      <c r="E107" s="7"/>
      <c r="F107" s="7"/>
    </row>
    <row r="108" spans="1:6" x14ac:dyDescent="0.25">
      <c r="A108" s="6"/>
      <c r="D108" s="7"/>
      <c r="E108" s="7"/>
      <c r="F108" s="7"/>
    </row>
    <row r="109" spans="1:6" x14ac:dyDescent="0.25">
      <c r="A109" s="6"/>
      <c r="D109" s="7"/>
      <c r="E109" s="7"/>
      <c r="F109" s="7"/>
    </row>
    <row r="110" spans="1:6" x14ac:dyDescent="0.25">
      <c r="A110" s="6"/>
      <c r="D110" s="7"/>
      <c r="E110" s="7"/>
      <c r="F110" s="7"/>
    </row>
    <row r="111" spans="1:6" x14ac:dyDescent="0.25">
      <c r="A111" s="6"/>
      <c r="D111" s="7"/>
      <c r="E111" s="7"/>
      <c r="F111" s="7"/>
    </row>
    <row r="112" spans="1:6" x14ac:dyDescent="0.25">
      <c r="A112" s="6"/>
      <c r="D112" s="7"/>
      <c r="E112" s="7"/>
      <c r="F112" s="7"/>
    </row>
    <row r="113" spans="1:6" x14ac:dyDescent="0.25">
      <c r="A113" s="6"/>
      <c r="D113" s="7"/>
      <c r="E113" s="7"/>
      <c r="F113" s="7"/>
    </row>
    <row r="114" spans="1:6" x14ac:dyDescent="0.25">
      <c r="A114" s="6"/>
      <c r="D114" s="7"/>
      <c r="E114" s="7"/>
      <c r="F114" s="7"/>
    </row>
    <row r="115" spans="1:6" x14ac:dyDescent="0.25">
      <c r="A115" s="6"/>
      <c r="D115" s="7"/>
      <c r="E115" s="7"/>
      <c r="F115" s="7"/>
    </row>
    <row r="116" spans="1:6" x14ac:dyDescent="0.25">
      <c r="A116" s="6"/>
      <c r="D116" s="7"/>
      <c r="E116" s="7"/>
      <c r="F116" s="7"/>
    </row>
    <row r="117" spans="1:6" x14ac:dyDescent="0.25">
      <c r="A117" s="6"/>
      <c r="D117" s="7"/>
      <c r="E117" s="7"/>
      <c r="F117" s="7"/>
    </row>
    <row r="118" spans="1:6" x14ac:dyDescent="0.25">
      <c r="A118" s="6"/>
      <c r="D118" s="7"/>
      <c r="E118" s="7"/>
      <c r="F118" s="7"/>
    </row>
    <row r="119" spans="1:6" x14ac:dyDescent="0.25">
      <c r="A119" s="6"/>
      <c r="D119" s="7"/>
      <c r="E119" s="7"/>
      <c r="F119" s="7"/>
    </row>
    <row r="120" spans="1:6" x14ac:dyDescent="0.25">
      <c r="A120" s="6"/>
      <c r="D120" s="7"/>
      <c r="E120" s="7"/>
      <c r="F120" s="7"/>
    </row>
    <row r="121" spans="1:6" x14ac:dyDescent="0.25">
      <c r="A121" s="6"/>
      <c r="D121" s="7"/>
      <c r="E121" s="7"/>
      <c r="F121" s="7"/>
    </row>
    <row r="122" spans="1:6" x14ac:dyDescent="0.25">
      <c r="A122" s="6"/>
      <c r="D122" s="7"/>
      <c r="E122" s="7"/>
      <c r="F122" s="7"/>
    </row>
    <row r="123" spans="1:6" x14ac:dyDescent="0.25">
      <c r="A123" s="6"/>
      <c r="D123" s="7"/>
      <c r="E123" s="7"/>
      <c r="F123" s="7"/>
    </row>
    <row r="124" spans="1:6" x14ac:dyDescent="0.25">
      <c r="A124" s="6"/>
      <c r="D124" s="7"/>
      <c r="E124" s="7"/>
      <c r="F124" s="7"/>
    </row>
    <row r="125" spans="1:6" x14ac:dyDescent="0.25">
      <c r="A125" s="6"/>
      <c r="D125" s="7"/>
      <c r="E125" s="7"/>
      <c r="F125" s="7"/>
    </row>
    <row r="126" spans="1:6" x14ac:dyDescent="0.25">
      <c r="A126" s="6"/>
      <c r="D126" s="7"/>
      <c r="E126" s="7"/>
      <c r="F126" s="7"/>
    </row>
    <row r="127" spans="1:6" x14ac:dyDescent="0.25">
      <c r="A127" s="6"/>
      <c r="D127" s="7"/>
      <c r="E127" s="7"/>
      <c r="F127" s="7"/>
    </row>
    <row r="128" spans="1:6" x14ac:dyDescent="0.25">
      <c r="A128" s="6"/>
      <c r="D128" s="7"/>
      <c r="E128" s="7"/>
      <c r="F128" s="7"/>
    </row>
    <row r="129" spans="1:6" x14ac:dyDescent="0.25">
      <c r="A129" s="6"/>
      <c r="D129" s="7"/>
      <c r="E129" s="7"/>
      <c r="F129" s="7"/>
    </row>
    <row r="130" spans="1:6" x14ac:dyDescent="0.25">
      <c r="A130" s="6"/>
      <c r="D130" s="7"/>
      <c r="E130" s="7"/>
      <c r="F130" s="7"/>
    </row>
    <row r="131" spans="1:6" x14ac:dyDescent="0.25">
      <c r="A131" s="6"/>
      <c r="D131" s="7"/>
      <c r="E131" s="7"/>
      <c r="F131" s="7"/>
    </row>
    <row r="132" spans="1:6" x14ac:dyDescent="0.25">
      <c r="A132" s="6"/>
      <c r="D132" s="7"/>
      <c r="E132" s="7"/>
      <c r="F132" s="7"/>
    </row>
    <row r="133" spans="1:6" x14ac:dyDescent="0.25">
      <c r="A133" s="6"/>
      <c r="D133" s="7"/>
      <c r="E133" s="7"/>
      <c r="F133" s="7"/>
    </row>
    <row r="134" spans="1:6" x14ac:dyDescent="0.25">
      <c r="A134" s="6"/>
      <c r="D134" s="7"/>
      <c r="E134" s="7"/>
      <c r="F134" s="7"/>
    </row>
    <row r="135" spans="1:6" x14ac:dyDescent="0.25">
      <c r="A135" s="6"/>
      <c r="D135" s="7"/>
      <c r="E135" s="7"/>
      <c r="F135" s="7"/>
    </row>
    <row r="136" spans="1:6" x14ac:dyDescent="0.25">
      <c r="A136" s="6"/>
      <c r="D136" s="7"/>
      <c r="E136" s="7"/>
      <c r="F136" s="7"/>
    </row>
    <row r="137" spans="1:6" x14ac:dyDescent="0.25">
      <c r="A137" s="6"/>
      <c r="D137" s="7"/>
      <c r="E137" s="7"/>
      <c r="F137" s="7"/>
    </row>
    <row r="138" spans="1:6" x14ac:dyDescent="0.25">
      <c r="A138" s="6"/>
      <c r="D138" s="7"/>
      <c r="E138" s="7"/>
      <c r="F138" s="7"/>
    </row>
    <row r="139" spans="1:6" x14ac:dyDescent="0.25">
      <c r="A139" s="6"/>
      <c r="D139" s="7"/>
      <c r="E139" s="7"/>
      <c r="F139" s="7"/>
    </row>
    <row r="140" spans="1:6" x14ac:dyDescent="0.25">
      <c r="A140" s="6"/>
      <c r="D140" s="7"/>
      <c r="E140" s="7"/>
      <c r="F140" s="7"/>
    </row>
    <row r="141" spans="1:6" x14ac:dyDescent="0.25">
      <c r="A141" s="6"/>
      <c r="D141" s="7"/>
      <c r="E141" s="7"/>
      <c r="F141" s="7"/>
    </row>
    <row r="142" spans="1:6" x14ac:dyDescent="0.25">
      <c r="A142" s="6"/>
      <c r="D142" s="7"/>
      <c r="E142" s="7"/>
      <c r="F142" s="7"/>
    </row>
    <row r="143" spans="1:6" x14ac:dyDescent="0.25">
      <c r="A143" s="6"/>
      <c r="D143" s="7"/>
      <c r="E143" s="7"/>
      <c r="F143" s="7"/>
    </row>
    <row r="144" spans="1:6" x14ac:dyDescent="0.25">
      <c r="A144" s="6"/>
      <c r="D144" s="7"/>
      <c r="E144" s="7"/>
      <c r="F144" s="7"/>
    </row>
    <row r="145" spans="1:6" x14ac:dyDescent="0.25">
      <c r="A145" s="6"/>
      <c r="D145" s="7"/>
      <c r="E145" s="7"/>
      <c r="F145" s="7"/>
    </row>
    <row r="146" spans="1:6" x14ac:dyDescent="0.25">
      <c r="A146" s="6"/>
      <c r="D146" s="7"/>
      <c r="E146" s="7"/>
      <c r="F146" s="7"/>
    </row>
    <row r="147" spans="1:6" x14ac:dyDescent="0.25">
      <c r="A147" s="6"/>
      <c r="D147" s="7"/>
      <c r="E147" s="7"/>
      <c r="F147" s="7"/>
    </row>
    <row r="148" spans="1:6" x14ac:dyDescent="0.25">
      <c r="A148" s="6"/>
      <c r="D148" s="7"/>
      <c r="E148" s="7"/>
      <c r="F148" s="7"/>
    </row>
    <row r="149" spans="1:6" x14ac:dyDescent="0.25">
      <c r="A149" s="6"/>
      <c r="D149" s="7"/>
      <c r="E149" s="7"/>
      <c r="F149" s="7"/>
    </row>
    <row r="150" spans="1:6" x14ac:dyDescent="0.25">
      <c r="A150" s="6"/>
      <c r="D150" s="7"/>
      <c r="E150" s="7"/>
      <c r="F150" s="7"/>
    </row>
    <row r="151" spans="1:6" x14ac:dyDescent="0.25">
      <c r="A151" s="6"/>
      <c r="D151" s="7"/>
      <c r="E151" s="7"/>
      <c r="F151" s="7"/>
    </row>
    <row r="152" spans="1:6" x14ac:dyDescent="0.25">
      <c r="A152" s="6"/>
      <c r="D152" s="7"/>
      <c r="E152" s="7"/>
      <c r="F152" s="7"/>
    </row>
    <row r="153" spans="1:6" x14ac:dyDescent="0.25">
      <c r="A153" s="6"/>
      <c r="D153" s="7"/>
      <c r="E153" s="7"/>
      <c r="F153" s="7"/>
    </row>
    <row r="154" spans="1:6" x14ac:dyDescent="0.25">
      <c r="A154" s="6"/>
      <c r="D154" s="7"/>
      <c r="E154" s="7"/>
      <c r="F154" s="7"/>
    </row>
    <row r="155" spans="1:6" x14ac:dyDescent="0.25">
      <c r="A155" s="6"/>
      <c r="D155" s="7"/>
      <c r="E155" s="7"/>
      <c r="F155" s="7"/>
    </row>
    <row r="156" spans="1:6" x14ac:dyDescent="0.25">
      <c r="A156" s="6"/>
      <c r="D156" s="7"/>
      <c r="E156" s="7"/>
      <c r="F156" s="7"/>
    </row>
    <row r="157" spans="1:6" x14ac:dyDescent="0.25">
      <c r="A157" s="6"/>
      <c r="D157" s="7"/>
      <c r="E157" s="7"/>
      <c r="F157" s="7"/>
    </row>
    <row r="158" spans="1:6" x14ac:dyDescent="0.25">
      <c r="A158" s="6"/>
      <c r="D158" s="7"/>
      <c r="E158" s="7"/>
      <c r="F158" s="7"/>
    </row>
    <row r="159" spans="1:6" x14ac:dyDescent="0.25">
      <c r="A159" s="6"/>
      <c r="D159" s="7"/>
      <c r="E159" s="7"/>
      <c r="F159" s="7"/>
    </row>
    <row r="160" spans="1:6" x14ac:dyDescent="0.25">
      <c r="A160" s="6"/>
      <c r="D160" s="7"/>
      <c r="E160" s="7"/>
      <c r="F160" s="7"/>
    </row>
    <row r="161" spans="1:6" x14ac:dyDescent="0.25">
      <c r="A161" s="6"/>
      <c r="D161" s="7"/>
      <c r="E161" s="7"/>
      <c r="F161" s="7"/>
    </row>
    <row r="162" spans="1:6" x14ac:dyDescent="0.25">
      <c r="A162" s="6"/>
      <c r="D162" s="7"/>
      <c r="E162" s="7"/>
      <c r="F162" s="7"/>
    </row>
    <row r="163" spans="1:6" x14ac:dyDescent="0.25">
      <c r="A163" s="6"/>
      <c r="D163" s="7"/>
      <c r="E163" s="7"/>
      <c r="F163" s="7"/>
    </row>
    <row r="164" spans="1:6" x14ac:dyDescent="0.25">
      <c r="A164" s="6"/>
      <c r="D164" s="7"/>
      <c r="E164" s="7"/>
      <c r="F164" s="7"/>
    </row>
    <row r="165" spans="1:6" x14ac:dyDescent="0.25">
      <c r="A165" s="6"/>
      <c r="D165" s="7"/>
      <c r="E165" s="7"/>
      <c r="F165" s="7"/>
    </row>
    <row r="166" spans="1:6" x14ac:dyDescent="0.25">
      <c r="A166" s="6"/>
      <c r="D166" s="7"/>
      <c r="E166" s="7"/>
      <c r="F166" s="7"/>
    </row>
    <row r="167" spans="1:6" x14ac:dyDescent="0.25">
      <c r="A167" s="6"/>
      <c r="D167" s="7"/>
      <c r="E167" s="7"/>
      <c r="F167" s="7"/>
    </row>
    <row r="168" spans="1:6" x14ac:dyDescent="0.25">
      <c r="A168" s="6"/>
      <c r="D168" s="7"/>
      <c r="E168" s="7"/>
      <c r="F168" s="7"/>
    </row>
    <row r="169" spans="1:6" x14ac:dyDescent="0.25">
      <c r="A169" s="6"/>
      <c r="D169" s="7"/>
      <c r="E169" s="7"/>
      <c r="F169" s="7"/>
    </row>
    <row r="170" spans="1:6" x14ac:dyDescent="0.25">
      <c r="A170" s="6"/>
      <c r="D170" s="7"/>
      <c r="E170" s="7"/>
      <c r="F170" s="7"/>
    </row>
    <row r="171" spans="1:6" x14ac:dyDescent="0.25">
      <c r="A171" s="6"/>
      <c r="D171" s="7"/>
      <c r="E171" s="7"/>
      <c r="F171" s="7"/>
    </row>
    <row r="172" spans="1:6" x14ac:dyDescent="0.25">
      <c r="A172" s="6"/>
      <c r="D172" s="7"/>
      <c r="E172" s="7"/>
      <c r="F172" s="7"/>
    </row>
    <row r="173" spans="1:6" x14ac:dyDescent="0.25">
      <c r="A173" s="6"/>
      <c r="D173" s="7"/>
      <c r="E173" s="7"/>
      <c r="F173" s="7"/>
    </row>
    <row r="174" spans="1:6" x14ac:dyDescent="0.25">
      <c r="A174" s="6"/>
      <c r="D174" s="7"/>
      <c r="E174" s="7"/>
      <c r="F174" s="7"/>
    </row>
    <row r="175" spans="1:6" x14ac:dyDescent="0.25">
      <c r="A175" s="6"/>
      <c r="D175" s="7"/>
      <c r="E175" s="7"/>
      <c r="F175" s="7"/>
    </row>
    <row r="176" spans="1:6" x14ac:dyDescent="0.25">
      <c r="A176" s="6"/>
      <c r="D176" s="7"/>
      <c r="E176" s="7"/>
      <c r="F176" s="7"/>
    </row>
    <row r="177" spans="1:6" x14ac:dyDescent="0.25">
      <c r="A177" s="6"/>
      <c r="D177" s="7"/>
      <c r="E177" s="7"/>
      <c r="F177" s="7"/>
    </row>
    <row r="178" spans="1:6" x14ac:dyDescent="0.25">
      <c r="A178" s="6"/>
      <c r="D178" s="7"/>
      <c r="E178" s="7"/>
      <c r="F178" s="7"/>
    </row>
    <row r="179" spans="1:6" x14ac:dyDescent="0.25">
      <c r="A179" s="6"/>
      <c r="D179" s="7"/>
      <c r="E179" s="7"/>
      <c r="F179" s="7"/>
    </row>
    <row r="180" spans="1:6" x14ac:dyDescent="0.25">
      <c r="A180" s="6"/>
      <c r="D180" s="7"/>
      <c r="E180" s="7"/>
      <c r="F180" s="7"/>
    </row>
    <row r="181" spans="1:6" x14ac:dyDescent="0.25">
      <c r="A181" s="6"/>
      <c r="D181" s="7"/>
      <c r="E181" s="7"/>
      <c r="F181" s="7"/>
    </row>
    <row r="182" spans="1:6" x14ac:dyDescent="0.25">
      <c r="A182" s="6"/>
      <c r="D182" s="7"/>
      <c r="E182" s="7"/>
      <c r="F182" s="7"/>
    </row>
    <row r="183" spans="1:6" x14ac:dyDescent="0.25">
      <c r="A183" s="6"/>
      <c r="D183" s="7"/>
      <c r="E183" s="7"/>
      <c r="F183" s="7"/>
    </row>
    <row r="184" spans="1:6" x14ac:dyDescent="0.25">
      <c r="A184" s="6"/>
      <c r="D184" s="7"/>
      <c r="E184" s="7"/>
      <c r="F184" s="7"/>
    </row>
    <row r="185" spans="1:6" x14ac:dyDescent="0.25">
      <c r="A185" s="6"/>
      <c r="D185" s="7"/>
      <c r="E185" s="7"/>
      <c r="F185" s="7"/>
    </row>
    <row r="186" spans="1:6" x14ac:dyDescent="0.25">
      <c r="A186" s="6"/>
      <c r="D186" s="7"/>
      <c r="E186" s="7"/>
      <c r="F186" s="7"/>
    </row>
    <row r="187" spans="1:6" x14ac:dyDescent="0.25">
      <c r="A187" s="6"/>
      <c r="D187" s="7"/>
      <c r="E187" s="7"/>
      <c r="F187" s="7"/>
    </row>
    <row r="188" spans="1:6" x14ac:dyDescent="0.25">
      <c r="A188" s="6"/>
      <c r="D188" s="7"/>
      <c r="E188" s="7"/>
      <c r="F188" s="7"/>
    </row>
    <row r="189" spans="1:6" x14ac:dyDescent="0.25">
      <c r="A189" s="6"/>
      <c r="D189" s="7"/>
      <c r="E189" s="7"/>
      <c r="F189" s="7"/>
    </row>
    <row r="190" spans="1:6" x14ac:dyDescent="0.25">
      <c r="A190" s="6"/>
      <c r="D190" s="7"/>
      <c r="E190" s="7"/>
      <c r="F190" s="7"/>
    </row>
    <row r="191" spans="1:6" x14ac:dyDescent="0.25">
      <c r="A191" s="6"/>
      <c r="D191" s="7"/>
      <c r="E191" s="7"/>
      <c r="F191" s="7"/>
    </row>
    <row r="192" spans="1:6" x14ac:dyDescent="0.25">
      <c r="A192" s="6"/>
      <c r="D192" s="7"/>
      <c r="E192" s="7"/>
      <c r="F192" s="7"/>
    </row>
    <row r="193" spans="1:6" x14ac:dyDescent="0.25">
      <c r="A193" s="6"/>
      <c r="D193" s="7"/>
      <c r="E193" s="7"/>
      <c r="F193" s="7"/>
    </row>
    <row r="194" spans="1:6" x14ac:dyDescent="0.25">
      <c r="A194" s="6"/>
      <c r="D194" s="7"/>
      <c r="E194" s="7"/>
      <c r="F194" s="7"/>
    </row>
    <row r="195" spans="1:6" x14ac:dyDescent="0.25">
      <c r="A195" s="6"/>
      <c r="D195" s="7"/>
      <c r="E195" s="7"/>
      <c r="F195" s="7"/>
    </row>
    <row r="196" spans="1:6" x14ac:dyDescent="0.25">
      <c r="A196" s="6"/>
      <c r="D196" s="7"/>
      <c r="E196" s="7"/>
      <c r="F196" s="7"/>
    </row>
    <row r="197" spans="1:6" x14ac:dyDescent="0.25">
      <c r="A197" s="6"/>
      <c r="D197" s="7"/>
      <c r="E197" s="7"/>
      <c r="F197" s="7"/>
    </row>
    <row r="198" spans="1:6" x14ac:dyDescent="0.25">
      <c r="A198" s="6"/>
      <c r="D198" s="7"/>
      <c r="E198" s="7"/>
      <c r="F198" s="7"/>
    </row>
    <row r="199" spans="1:6" x14ac:dyDescent="0.25">
      <c r="A199" s="6"/>
      <c r="D199" s="7"/>
      <c r="E199" s="7"/>
      <c r="F199" s="7"/>
    </row>
    <row r="200" spans="1:6" x14ac:dyDescent="0.25">
      <c r="A200" s="6"/>
      <c r="D200" s="7"/>
      <c r="E200" s="7"/>
      <c r="F200" s="7"/>
    </row>
    <row r="201" spans="1:6" x14ac:dyDescent="0.25">
      <c r="A201" s="6"/>
      <c r="D201" s="7"/>
      <c r="E201" s="7"/>
      <c r="F201" s="7"/>
    </row>
    <row r="202" spans="1:6" x14ac:dyDescent="0.25">
      <c r="A202" s="6"/>
      <c r="D202" s="7"/>
      <c r="E202" s="7"/>
      <c r="F202" s="7"/>
    </row>
    <row r="203" spans="1:6" x14ac:dyDescent="0.25">
      <c r="A203" s="6"/>
      <c r="D203" s="7"/>
      <c r="E203" s="7"/>
      <c r="F203" s="7"/>
    </row>
    <row r="204" spans="1:6" x14ac:dyDescent="0.25">
      <c r="A204" s="6"/>
      <c r="D204" s="7"/>
      <c r="E204" s="7"/>
      <c r="F204" s="7"/>
    </row>
    <row r="205" spans="1:6" x14ac:dyDescent="0.25">
      <c r="A205" s="6"/>
      <c r="D205" s="7"/>
      <c r="E205" s="7"/>
      <c r="F205" s="7"/>
    </row>
    <row r="206" spans="1:6" x14ac:dyDescent="0.25">
      <c r="A206" s="6"/>
      <c r="D206" s="7"/>
      <c r="E206" s="7"/>
      <c r="F206" s="7"/>
    </row>
    <row r="207" spans="1:6" x14ac:dyDescent="0.25">
      <c r="A207" s="6"/>
      <c r="D207" s="7"/>
      <c r="E207" s="7"/>
      <c r="F207" s="7"/>
    </row>
    <row r="208" spans="1:6" x14ac:dyDescent="0.25">
      <c r="A208" s="6"/>
      <c r="D208" s="7"/>
      <c r="E208" s="7"/>
      <c r="F208" s="7"/>
    </row>
    <row r="209" spans="1:6" x14ac:dyDescent="0.25">
      <c r="A209" s="6"/>
      <c r="D209" s="7"/>
      <c r="E209" s="7"/>
      <c r="F209" s="7"/>
    </row>
    <row r="210" spans="1:6" x14ac:dyDescent="0.25">
      <c r="A210" s="6"/>
      <c r="D210" s="7"/>
      <c r="E210" s="7"/>
      <c r="F210" s="7"/>
    </row>
    <row r="211" spans="1:6" x14ac:dyDescent="0.25">
      <c r="A211" s="6"/>
      <c r="D211" s="7"/>
      <c r="E211" s="7"/>
      <c r="F211" s="7"/>
    </row>
    <row r="212" spans="1:6" x14ac:dyDescent="0.25">
      <c r="A212" s="6"/>
      <c r="D212" s="7"/>
      <c r="E212" s="7"/>
      <c r="F212" s="7"/>
    </row>
    <row r="213" spans="1:6" x14ac:dyDescent="0.25">
      <c r="A213" s="6"/>
      <c r="D213" s="7"/>
      <c r="E213" s="7"/>
      <c r="F213" s="7"/>
    </row>
    <row r="214" spans="1:6" x14ac:dyDescent="0.25">
      <c r="A214" s="6"/>
      <c r="D214" s="7"/>
      <c r="E214" s="7"/>
      <c r="F214" s="7"/>
    </row>
    <row r="215" spans="1:6" x14ac:dyDescent="0.25">
      <c r="A215" s="6"/>
      <c r="D215" s="7"/>
      <c r="E215" s="7"/>
      <c r="F215" s="7"/>
    </row>
    <row r="216" spans="1:6" x14ac:dyDescent="0.25">
      <c r="A216" s="6"/>
      <c r="D216" s="7"/>
      <c r="E216" s="7"/>
      <c r="F216" s="7"/>
    </row>
    <row r="217" spans="1:6" x14ac:dyDescent="0.25">
      <c r="A217" s="6"/>
      <c r="D217" s="7"/>
      <c r="E217" s="7"/>
      <c r="F217" s="7"/>
    </row>
    <row r="218" spans="1:6" x14ac:dyDescent="0.25">
      <c r="A218" s="6"/>
      <c r="D218" s="7"/>
      <c r="E218" s="7"/>
      <c r="F218" s="7"/>
    </row>
    <row r="219" spans="1:6" x14ac:dyDescent="0.25">
      <c r="A219" s="6"/>
      <c r="D219" s="7"/>
      <c r="E219" s="7"/>
      <c r="F219" s="7"/>
    </row>
    <row r="220" spans="1:6" x14ac:dyDescent="0.25">
      <c r="A220" s="6"/>
      <c r="D220" s="7"/>
      <c r="E220" s="7"/>
      <c r="F220" s="7"/>
    </row>
    <row r="221" spans="1:6" x14ac:dyDescent="0.25">
      <c r="A221" s="6"/>
      <c r="D221" s="7"/>
      <c r="E221" s="7"/>
      <c r="F221" s="7"/>
    </row>
    <row r="222" spans="1:6" x14ac:dyDescent="0.25">
      <c r="A222" s="6"/>
      <c r="D222" s="7"/>
      <c r="E222" s="7"/>
      <c r="F222" s="7"/>
    </row>
    <row r="223" spans="1:6" x14ac:dyDescent="0.25">
      <c r="A223" s="6"/>
      <c r="D223" s="7"/>
      <c r="E223" s="7"/>
      <c r="F223" s="7"/>
    </row>
    <row r="224" spans="1:6" x14ac:dyDescent="0.25">
      <c r="A224" s="6"/>
      <c r="D224" s="7"/>
      <c r="E224" s="7"/>
      <c r="F224" s="7"/>
    </row>
    <row r="225" spans="1:6" x14ac:dyDescent="0.25">
      <c r="A225" s="6"/>
      <c r="D225" s="7"/>
      <c r="E225" s="7"/>
      <c r="F225" s="7"/>
    </row>
    <row r="226" spans="1:6" x14ac:dyDescent="0.25">
      <c r="A226" s="6"/>
      <c r="D226" s="7"/>
      <c r="E226" s="7"/>
      <c r="F226" s="7"/>
    </row>
    <row r="227" spans="1:6" x14ac:dyDescent="0.25">
      <c r="A227" s="6"/>
      <c r="D227" s="7"/>
      <c r="E227" s="7"/>
      <c r="F227" s="7"/>
    </row>
    <row r="228" spans="1:6" x14ac:dyDescent="0.25">
      <c r="A228" s="6"/>
      <c r="D228" s="7"/>
      <c r="E228" s="7"/>
      <c r="F228" s="7"/>
    </row>
    <row r="229" spans="1:6" x14ac:dyDescent="0.25">
      <c r="A229" s="6"/>
      <c r="D229" s="7"/>
      <c r="E229" s="7"/>
      <c r="F229" s="7"/>
    </row>
    <row r="230" spans="1:6" x14ac:dyDescent="0.25">
      <c r="A230" s="6"/>
      <c r="D230" s="7"/>
      <c r="E230" s="7"/>
      <c r="F230" s="7"/>
    </row>
    <row r="231" spans="1:6" x14ac:dyDescent="0.25">
      <c r="A231" s="6"/>
      <c r="D231" s="7"/>
      <c r="E231" s="7"/>
      <c r="F231" s="7"/>
    </row>
    <row r="232" spans="1:6" x14ac:dyDescent="0.25">
      <c r="A232" s="6"/>
      <c r="D232" s="7"/>
      <c r="E232" s="7"/>
      <c r="F232" s="7"/>
    </row>
    <row r="233" spans="1:6" x14ac:dyDescent="0.25">
      <c r="A233" s="6"/>
      <c r="D233" s="7"/>
      <c r="E233" s="7"/>
      <c r="F233" s="7"/>
    </row>
    <row r="234" spans="1:6" x14ac:dyDescent="0.25">
      <c r="A234" s="6"/>
      <c r="D234" s="7"/>
      <c r="E234" s="7"/>
      <c r="F234" s="7"/>
    </row>
    <row r="235" spans="1:6" x14ac:dyDescent="0.25">
      <c r="A235" s="6"/>
      <c r="D235" s="7"/>
      <c r="E235" s="7"/>
      <c r="F235" s="7"/>
    </row>
    <row r="236" spans="1:6" x14ac:dyDescent="0.25">
      <c r="A236" s="6"/>
      <c r="D236" s="7"/>
      <c r="E236" s="7"/>
      <c r="F236" s="7"/>
    </row>
    <row r="237" spans="1:6" x14ac:dyDescent="0.25">
      <c r="A237" s="6"/>
      <c r="D237" s="7"/>
      <c r="E237" s="7"/>
      <c r="F237" s="7"/>
    </row>
    <row r="238" spans="1:6" x14ac:dyDescent="0.25">
      <c r="A238" s="6"/>
      <c r="D238" s="7"/>
      <c r="E238" s="7"/>
      <c r="F238" s="7"/>
    </row>
    <row r="239" spans="1:6" x14ac:dyDescent="0.25">
      <c r="A239" s="6"/>
      <c r="D239" s="7"/>
      <c r="E239" s="7"/>
      <c r="F239" s="7"/>
    </row>
    <row r="240" spans="1:6" x14ac:dyDescent="0.25">
      <c r="A240" s="6"/>
      <c r="D240" s="7"/>
      <c r="E240" s="7"/>
      <c r="F240" s="7"/>
    </row>
    <row r="241" spans="1:6" x14ac:dyDescent="0.25">
      <c r="A241" s="6"/>
      <c r="D241" s="7"/>
      <c r="E241" s="7"/>
      <c r="F241" s="7"/>
    </row>
    <row r="242" spans="1:6" x14ac:dyDescent="0.25">
      <c r="A242" s="6"/>
      <c r="D242" s="7"/>
      <c r="E242" s="7"/>
      <c r="F242" s="7"/>
    </row>
    <row r="243" spans="1:6" x14ac:dyDescent="0.25">
      <c r="A243" s="6"/>
      <c r="D243" s="7"/>
      <c r="E243" s="7"/>
      <c r="F243" s="7"/>
    </row>
    <row r="244" spans="1:6" x14ac:dyDescent="0.25">
      <c r="A244" s="6"/>
      <c r="D244" s="7"/>
      <c r="E244" s="7"/>
      <c r="F244" s="7"/>
    </row>
    <row r="245" spans="1:6" x14ac:dyDescent="0.25">
      <c r="A245" s="6"/>
      <c r="D245" s="7"/>
      <c r="E245" s="7"/>
      <c r="F245" s="7"/>
    </row>
    <row r="246" spans="1:6" x14ac:dyDescent="0.25">
      <c r="A246" s="6"/>
      <c r="D246" s="7"/>
      <c r="E246" s="7"/>
      <c r="F246" s="7"/>
    </row>
    <row r="247" spans="1:6" x14ac:dyDescent="0.25">
      <c r="A247" s="6"/>
      <c r="D247" s="7"/>
      <c r="E247" s="7"/>
      <c r="F247" s="7"/>
    </row>
    <row r="248" spans="1:6" x14ac:dyDescent="0.25">
      <c r="A248" s="6"/>
      <c r="D248" s="7"/>
      <c r="E248" s="7"/>
      <c r="F248" s="7"/>
    </row>
    <row r="249" spans="1:6" x14ac:dyDescent="0.25">
      <c r="A249" s="6"/>
      <c r="D249" s="7"/>
      <c r="E249" s="7"/>
      <c r="F249" s="7"/>
    </row>
    <row r="250" spans="1:6" x14ac:dyDescent="0.25">
      <c r="A250" s="6"/>
      <c r="D250" s="7"/>
      <c r="E250" s="7"/>
      <c r="F250" s="7"/>
    </row>
    <row r="251" spans="1:6" x14ac:dyDescent="0.25">
      <c r="A251" s="6"/>
      <c r="D251" s="7"/>
      <c r="E251" s="7"/>
      <c r="F251" s="7"/>
    </row>
    <row r="252" spans="1:6" x14ac:dyDescent="0.25">
      <c r="A252" s="6"/>
      <c r="D252" s="7"/>
      <c r="E252" s="7"/>
      <c r="F252" s="7"/>
    </row>
    <row r="253" spans="1:6" x14ac:dyDescent="0.25">
      <c r="A253" s="6"/>
      <c r="D253" s="7"/>
      <c r="E253" s="7"/>
      <c r="F253" s="7"/>
    </row>
    <row r="254" spans="1:6" x14ac:dyDescent="0.25">
      <c r="A254" s="6"/>
      <c r="D254" s="7"/>
      <c r="E254" s="7"/>
      <c r="F254" s="7"/>
    </row>
    <row r="255" spans="1:6" x14ac:dyDescent="0.25">
      <c r="A255" s="6"/>
      <c r="D255" s="7"/>
      <c r="E255" s="7"/>
      <c r="F255" s="7"/>
    </row>
    <row r="256" spans="1:6" x14ac:dyDescent="0.25">
      <c r="A256" s="6"/>
      <c r="D256" s="7"/>
      <c r="E256" s="7"/>
      <c r="F256" s="7"/>
    </row>
    <row r="257" spans="1:6" x14ac:dyDescent="0.25">
      <c r="A257" s="6"/>
      <c r="D257" s="7"/>
      <c r="E257" s="7"/>
      <c r="F257" s="7"/>
    </row>
    <row r="258" spans="1:6" x14ac:dyDescent="0.25">
      <c r="A258" s="6"/>
      <c r="D258" s="7"/>
      <c r="E258" s="7"/>
      <c r="F258" s="7"/>
    </row>
    <row r="259" spans="1:6" x14ac:dyDescent="0.25">
      <c r="A259" s="6"/>
      <c r="D259" s="7"/>
      <c r="E259" s="7"/>
      <c r="F259" s="7"/>
    </row>
    <row r="260" spans="1:6" x14ac:dyDescent="0.25">
      <c r="A260" s="6"/>
      <c r="D260" s="7"/>
      <c r="E260" s="7"/>
      <c r="F260" s="7"/>
    </row>
    <row r="261" spans="1:6" x14ac:dyDescent="0.25">
      <c r="A261" s="6"/>
      <c r="D261" s="7"/>
      <c r="E261" s="7"/>
      <c r="F261" s="7"/>
    </row>
    <row r="262" spans="1:6" x14ac:dyDescent="0.25">
      <c r="A262" s="6"/>
      <c r="D262" s="7"/>
      <c r="E262" s="7"/>
      <c r="F262" s="7"/>
    </row>
    <row r="263" spans="1:6" x14ac:dyDescent="0.25">
      <c r="A263" s="6"/>
      <c r="D263" s="7"/>
      <c r="E263" s="7"/>
      <c r="F263" s="7"/>
    </row>
    <row r="264" spans="1:6" x14ac:dyDescent="0.25">
      <c r="A264" s="6"/>
      <c r="D264" s="7"/>
      <c r="E264" s="7"/>
      <c r="F264" s="7"/>
    </row>
    <row r="265" spans="1:6" x14ac:dyDescent="0.25">
      <c r="A265" s="6"/>
      <c r="D265" s="7"/>
      <c r="E265" s="7"/>
      <c r="F265" s="7"/>
    </row>
    <row r="266" spans="1:6" x14ac:dyDescent="0.25">
      <c r="A266" s="6"/>
      <c r="D266" s="7"/>
      <c r="E266" s="7"/>
      <c r="F266" s="7"/>
    </row>
    <row r="267" spans="1:6" x14ac:dyDescent="0.25">
      <c r="A267" s="6"/>
      <c r="D267" s="7"/>
      <c r="E267" s="7"/>
      <c r="F267" s="7"/>
    </row>
    <row r="268" spans="1:6" x14ac:dyDescent="0.25">
      <c r="A268" s="6"/>
      <c r="D268" s="7"/>
      <c r="E268" s="7"/>
      <c r="F268" s="7"/>
    </row>
    <row r="269" spans="1:6" x14ac:dyDescent="0.25">
      <c r="A269" s="6"/>
      <c r="D269" s="7"/>
      <c r="E269" s="7"/>
      <c r="F269" s="7"/>
    </row>
    <row r="270" spans="1:6" x14ac:dyDescent="0.25">
      <c r="A270" s="6"/>
      <c r="D270" s="7"/>
      <c r="E270" s="7"/>
      <c r="F270" s="7"/>
    </row>
    <row r="271" spans="1:6" x14ac:dyDescent="0.25">
      <c r="A271" s="6"/>
      <c r="D271" s="7"/>
      <c r="E271" s="7"/>
      <c r="F271" s="7"/>
    </row>
    <row r="272" spans="1:6" x14ac:dyDescent="0.25">
      <c r="A272" s="6"/>
      <c r="D272" s="7"/>
      <c r="E272" s="7"/>
      <c r="F272" s="7"/>
    </row>
    <row r="273" spans="1:6" x14ac:dyDescent="0.25">
      <c r="A273" s="6"/>
      <c r="D273" s="7"/>
      <c r="E273" s="7"/>
      <c r="F273" s="7"/>
    </row>
    <row r="274" spans="1:6" x14ac:dyDescent="0.25">
      <c r="A274" s="6"/>
      <c r="D274" s="7"/>
      <c r="E274" s="7"/>
      <c r="F274" s="7"/>
    </row>
    <row r="275" spans="1:6" x14ac:dyDescent="0.25">
      <c r="A275" s="6"/>
      <c r="D275" s="7"/>
      <c r="E275" s="7"/>
      <c r="F275" s="7"/>
    </row>
    <row r="276" spans="1:6" x14ac:dyDescent="0.25">
      <c r="A276" s="6"/>
      <c r="D276" s="7"/>
      <c r="E276" s="7"/>
      <c r="F276" s="7"/>
    </row>
    <row r="277" spans="1:6" x14ac:dyDescent="0.25">
      <c r="A277" s="6"/>
      <c r="D277" s="7"/>
      <c r="E277" s="7"/>
      <c r="F277" s="7"/>
    </row>
    <row r="278" spans="1:6" x14ac:dyDescent="0.25">
      <c r="A278" s="6"/>
      <c r="D278" s="7"/>
      <c r="E278" s="7"/>
      <c r="F278" s="7"/>
    </row>
    <row r="279" spans="1:6" x14ac:dyDescent="0.25">
      <c r="A279" s="6"/>
      <c r="D279" s="7"/>
      <c r="E279" s="7"/>
      <c r="F279" s="7"/>
    </row>
    <row r="280" spans="1:6" x14ac:dyDescent="0.25">
      <c r="A280" s="6"/>
      <c r="D280" s="7"/>
      <c r="E280" s="7"/>
      <c r="F280" s="7"/>
    </row>
    <row r="281" spans="1:6" x14ac:dyDescent="0.25">
      <c r="A281" s="6"/>
      <c r="D281" s="7"/>
      <c r="E281" s="7"/>
      <c r="F281" s="7"/>
    </row>
    <row r="282" spans="1:6" x14ac:dyDescent="0.25">
      <c r="A282" s="6"/>
      <c r="D282" s="7"/>
      <c r="E282" s="7"/>
      <c r="F282" s="7"/>
    </row>
    <row r="283" spans="1:6" x14ac:dyDescent="0.25">
      <c r="A283" s="6"/>
      <c r="D283" s="7"/>
      <c r="E283" s="7"/>
      <c r="F283" s="7"/>
    </row>
    <row r="284" spans="1:6" x14ac:dyDescent="0.25">
      <c r="A284" s="6"/>
      <c r="D284" s="7"/>
      <c r="E284" s="7"/>
      <c r="F284" s="7"/>
    </row>
    <row r="285" spans="1:6" x14ac:dyDescent="0.25">
      <c r="A285" s="6"/>
      <c r="D285" s="7"/>
      <c r="E285" s="7"/>
      <c r="F285" s="7"/>
    </row>
    <row r="286" spans="1:6" x14ac:dyDescent="0.25">
      <c r="A286" s="6"/>
      <c r="D286" s="7"/>
      <c r="E286" s="7"/>
      <c r="F286" s="7"/>
    </row>
    <row r="287" spans="1:6" x14ac:dyDescent="0.25">
      <c r="A287" s="6"/>
      <c r="D287" s="7"/>
      <c r="E287" s="7"/>
      <c r="F287" s="7"/>
    </row>
    <row r="288" spans="1:6" x14ac:dyDescent="0.25">
      <c r="A288" s="6"/>
      <c r="D288" s="7"/>
      <c r="E288" s="7"/>
      <c r="F288" s="7"/>
    </row>
    <row r="289" spans="1:6" x14ac:dyDescent="0.25">
      <c r="A289" s="6"/>
      <c r="D289" s="7"/>
      <c r="E289" s="7"/>
      <c r="F289" s="7"/>
    </row>
    <row r="290" spans="1:6" x14ac:dyDescent="0.25">
      <c r="A290" s="6"/>
      <c r="D290" s="7"/>
      <c r="E290" s="7"/>
      <c r="F290" s="7"/>
    </row>
    <row r="291" spans="1:6" x14ac:dyDescent="0.25">
      <c r="A291" s="6"/>
      <c r="D291" s="7"/>
      <c r="E291" s="7"/>
      <c r="F291" s="7"/>
    </row>
    <row r="292" spans="1:6" x14ac:dyDescent="0.25">
      <c r="A292" s="6"/>
      <c r="D292" s="7"/>
      <c r="E292" s="7"/>
      <c r="F292" s="7"/>
    </row>
    <row r="293" spans="1:6" x14ac:dyDescent="0.25">
      <c r="A293" s="6"/>
      <c r="D293" s="7"/>
      <c r="E293" s="7"/>
      <c r="F293" s="7"/>
    </row>
    <row r="294" spans="1:6" x14ac:dyDescent="0.25">
      <c r="A294" s="6"/>
      <c r="D294" s="7"/>
      <c r="E294" s="7"/>
      <c r="F294" s="7"/>
    </row>
    <row r="295" spans="1:6" x14ac:dyDescent="0.25">
      <c r="A295" s="6"/>
      <c r="D295" s="7"/>
      <c r="E295" s="7"/>
      <c r="F295" s="7"/>
    </row>
    <row r="296" spans="1:6" x14ac:dyDescent="0.25">
      <c r="A296" s="6"/>
      <c r="D296" s="7"/>
      <c r="E296" s="7"/>
      <c r="F296" s="7"/>
    </row>
    <row r="297" spans="1:6" x14ac:dyDescent="0.25">
      <c r="A297" s="6"/>
      <c r="D297" s="7"/>
      <c r="E297" s="7"/>
      <c r="F297" s="7"/>
    </row>
    <row r="298" spans="1:6" x14ac:dyDescent="0.25">
      <c r="A298" s="6"/>
      <c r="D298" s="7"/>
      <c r="E298" s="7"/>
      <c r="F298" s="7"/>
    </row>
    <row r="299" spans="1:6" x14ac:dyDescent="0.25">
      <c r="A299" s="6"/>
      <c r="D299" s="7"/>
      <c r="E299" s="7"/>
      <c r="F299" s="7"/>
    </row>
    <row r="300" spans="1:6" x14ac:dyDescent="0.25">
      <c r="A300" s="6"/>
      <c r="D300" s="7"/>
      <c r="E300" s="7"/>
      <c r="F300" s="7"/>
    </row>
    <row r="301" spans="1:6" x14ac:dyDescent="0.25">
      <c r="A301" s="6"/>
      <c r="D301" s="7"/>
      <c r="E301" s="7"/>
      <c r="F301" s="7"/>
    </row>
    <row r="302" spans="1:6" x14ac:dyDescent="0.25">
      <c r="A302" s="6"/>
      <c r="D302" s="7"/>
      <c r="E302" s="7"/>
      <c r="F302" s="7"/>
    </row>
    <row r="303" spans="1:6" x14ac:dyDescent="0.25">
      <c r="A303" s="6"/>
      <c r="D303" s="7"/>
      <c r="E303" s="7"/>
      <c r="F303" s="7"/>
    </row>
    <row r="304" spans="1:6" x14ac:dyDescent="0.25">
      <c r="A304" s="6"/>
      <c r="D304" s="7"/>
      <c r="E304" s="7"/>
      <c r="F304" s="7"/>
    </row>
    <row r="305" spans="1:6" x14ac:dyDescent="0.25">
      <c r="A305" s="6"/>
      <c r="D305" s="7"/>
      <c r="E305" s="7"/>
      <c r="F305" s="7"/>
    </row>
    <row r="306" spans="1:6" x14ac:dyDescent="0.25">
      <c r="A306" s="6"/>
      <c r="D306" s="7"/>
      <c r="E306" s="7"/>
      <c r="F306" s="7"/>
    </row>
    <row r="307" spans="1:6" x14ac:dyDescent="0.25">
      <c r="A307" s="6"/>
      <c r="D307" s="7"/>
      <c r="E307" s="7"/>
      <c r="F307" s="7"/>
    </row>
    <row r="308" spans="1:6" x14ac:dyDescent="0.25">
      <c r="A308" s="6"/>
      <c r="D308" s="7"/>
      <c r="E308" s="7"/>
      <c r="F308" s="7"/>
    </row>
    <row r="309" spans="1:6" x14ac:dyDescent="0.25">
      <c r="A309" s="6"/>
      <c r="D309" s="7"/>
      <c r="E309" s="7"/>
      <c r="F309" s="7"/>
    </row>
    <row r="310" spans="1:6" x14ac:dyDescent="0.25">
      <c r="A310" s="6"/>
      <c r="D310" s="7"/>
      <c r="E310" s="7"/>
      <c r="F310" s="7"/>
    </row>
    <row r="311" spans="1:6" x14ac:dyDescent="0.25">
      <c r="A311" s="6"/>
      <c r="D311" s="7"/>
      <c r="E311" s="7"/>
      <c r="F311" s="7"/>
    </row>
    <row r="312" spans="1:6" x14ac:dyDescent="0.25">
      <c r="A312" s="6"/>
      <c r="D312" s="7"/>
      <c r="E312" s="7"/>
      <c r="F312" s="7"/>
    </row>
    <row r="313" spans="1:6" x14ac:dyDescent="0.25">
      <c r="A313" s="6"/>
      <c r="D313" s="7"/>
      <c r="E313" s="7"/>
      <c r="F313" s="7"/>
    </row>
    <row r="314" spans="1:6" x14ac:dyDescent="0.25">
      <c r="A314" s="6"/>
      <c r="D314" s="7"/>
      <c r="E314" s="7"/>
      <c r="F314" s="7"/>
    </row>
    <row r="315" spans="1:6" x14ac:dyDescent="0.25">
      <c r="A315" s="6"/>
      <c r="D315" s="7"/>
      <c r="E315" s="7"/>
      <c r="F315" s="7"/>
    </row>
    <row r="316" spans="1:6" x14ac:dyDescent="0.25">
      <c r="A316" s="6"/>
      <c r="D316" s="7"/>
      <c r="E316" s="7"/>
      <c r="F316" s="7"/>
    </row>
    <row r="317" spans="1:6" x14ac:dyDescent="0.25">
      <c r="A317" s="6"/>
      <c r="D317" s="7"/>
      <c r="E317" s="7"/>
      <c r="F317" s="7"/>
    </row>
    <row r="318" spans="1:6" x14ac:dyDescent="0.25">
      <c r="A318" s="6"/>
      <c r="D318" s="7"/>
      <c r="E318" s="7"/>
      <c r="F318" s="7"/>
    </row>
    <row r="319" spans="1:6" x14ac:dyDescent="0.25">
      <c r="A319" s="6"/>
      <c r="D319" s="7"/>
      <c r="E319" s="7"/>
      <c r="F319" s="7"/>
    </row>
    <row r="320" spans="1:6" x14ac:dyDescent="0.25">
      <c r="A320" s="6"/>
      <c r="D320" s="7"/>
      <c r="E320" s="7"/>
      <c r="F320" s="7"/>
    </row>
    <row r="321" spans="1:6" x14ac:dyDescent="0.25">
      <c r="A321" s="6"/>
      <c r="D321" s="7"/>
      <c r="E321" s="7"/>
      <c r="F321" s="7"/>
    </row>
    <row r="322" spans="1:6" x14ac:dyDescent="0.25">
      <c r="A322" s="6"/>
      <c r="D322" s="7"/>
      <c r="E322" s="7"/>
      <c r="F322" s="7"/>
    </row>
    <row r="323" spans="1:6" x14ac:dyDescent="0.25">
      <c r="A323" s="6"/>
      <c r="D323" s="7"/>
      <c r="E323" s="7"/>
      <c r="F323" s="7"/>
    </row>
    <row r="324" spans="1:6" x14ac:dyDescent="0.25">
      <c r="A324" s="6"/>
      <c r="D324" s="7"/>
      <c r="E324" s="7"/>
      <c r="F324" s="7"/>
    </row>
    <row r="325" spans="1:6" x14ac:dyDescent="0.25">
      <c r="A325" s="6"/>
      <c r="D325" s="7"/>
      <c r="E325" s="7"/>
      <c r="F325" s="7"/>
    </row>
    <row r="326" spans="1:6" x14ac:dyDescent="0.25">
      <c r="A326" s="6"/>
      <c r="D326" s="7"/>
      <c r="E326" s="7"/>
      <c r="F326" s="7"/>
    </row>
    <row r="327" spans="1:6" x14ac:dyDescent="0.25">
      <c r="A327" s="6"/>
      <c r="D327" s="7"/>
      <c r="E327" s="7"/>
      <c r="F327" s="7"/>
    </row>
    <row r="328" spans="1:6" x14ac:dyDescent="0.25">
      <c r="A328" s="6"/>
      <c r="D328" s="7"/>
      <c r="E328" s="7"/>
      <c r="F328" s="7"/>
    </row>
    <row r="329" spans="1:6" x14ac:dyDescent="0.25">
      <c r="A329" s="6"/>
      <c r="D329" s="7"/>
      <c r="E329" s="7"/>
      <c r="F329" s="7"/>
    </row>
    <row r="330" spans="1:6" x14ac:dyDescent="0.25">
      <c r="A330" s="6"/>
      <c r="D330" s="7"/>
      <c r="E330" s="7"/>
      <c r="F330" s="7"/>
    </row>
    <row r="331" spans="1:6" x14ac:dyDescent="0.25">
      <c r="A331" s="6"/>
      <c r="D331" s="7"/>
      <c r="E331" s="7"/>
      <c r="F331" s="7"/>
    </row>
    <row r="332" spans="1:6" x14ac:dyDescent="0.25">
      <c r="A332" s="6"/>
      <c r="D332" s="7"/>
      <c r="E332" s="7"/>
      <c r="F332" s="7"/>
    </row>
    <row r="333" spans="1:6" x14ac:dyDescent="0.25">
      <c r="A333" s="6"/>
      <c r="D333" s="7"/>
      <c r="E333" s="7"/>
      <c r="F333" s="7"/>
    </row>
    <row r="334" spans="1:6" x14ac:dyDescent="0.25">
      <c r="A334" s="6"/>
      <c r="D334" s="7"/>
      <c r="E334" s="7"/>
      <c r="F334" s="7"/>
    </row>
    <row r="335" spans="1:6" x14ac:dyDescent="0.25">
      <c r="A335" s="6"/>
      <c r="D335" s="7"/>
      <c r="E335" s="7"/>
      <c r="F335" s="7"/>
    </row>
    <row r="336" spans="1:6" x14ac:dyDescent="0.25">
      <c r="A336" s="6"/>
      <c r="D336" s="7"/>
      <c r="E336" s="7"/>
      <c r="F336" s="7"/>
    </row>
    <row r="337" spans="1:6" x14ac:dyDescent="0.25">
      <c r="A337" s="6"/>
      <c r="D337" s="7"/>
      <c r="E337" s="7"/>
      <c r="F337" s="7"/>
    </row>
    <row r="338" spans="1:6" x14ac:dyDescent="0.25">
      <c r="A338" s="6"/>
      <c r="D338" s="7"/>
      <c r="E338" s="7"/>
      <c r="F338" s="7"/>
    </row>
    <row r="339" spans="1:6" x14ac:dyDescent="0.25">
      <c r="A339" s="6"/>
      <c r="D339" s="7"/>
      <c r="E339" s="7"/>
      <c r="F339" s="7"/>
    </row>
    <row r="340" spans="1:6" x14ac:dyDescent="0.25">
      <c r="A340" s="6"/>
      <c r="D340" s="7"/>
      <c r="E340" s="7"/>
      <c r="F340" s="7"/>
    </row>
    <row r="341" spans="1:6" x14ac:dyDescent="0.25">
      <c r="A341" s="6"/>
      <c r="D341" s="7"/>
      <c r="E341" s="7"/>
      <c r="F341" s="7"/>
    </row>
    <row r="342" spans="1:6" x14ac:dyDescent="0.25">
      <c r="A342" s="6"/>
      <c r="D342" s="7"/>
      <c r="E342" s="7"/>
      <c r="F342" s="7"/>
    </row>
    <row r="343" spans="1:6" x14ac:dyDescent="0.25">
      <c r="A343" s="6"/>
      <c r="D343" s="7"/>
      <c r="E343" s="7"/>
      <c r="F343" s="7"/>
    </row>
    <row r="344" spans="1:6" x14ac:dyDescent="0.25">
      <c r="A344" s="6"/>
      <c r="D344" s="7"/>
      <c r="E344" s="7"/>
      <c r="F344" s="7"/>
    </row>
    <row r="345" spans="1:6" x14ac:dyDescent="0.25">
      <c r="A345" s="6"/>
      <c r="D345" s="7"/>
      <c r="E345" s="7"/>
      <c r="F345" s="7"/>
    </row>
    <row r="346" spans="1:6" x14ac:dyDescent="0.25">
      <c r="A346" s="6"/>
      <c r="D346" s="7"/>
      <c r="E346" s="7"/>
      <c r="F346" s="7"/>
    </row>
    <row r="347" spans="1:6" x14ac:dyDescent="0.25">
      <c r="A347" s="6"/>
      <c r="D347" s="7"/>
      <c r="E347" s="7"/>
      <c r="F347" s="7"/>
    </row>
    <row r="348" spans="1:6" x14ac:dyDescent="0.25">
      <c r="A348" s="6"/>
      <c r="D348" s="7"/>
      <c r="E348" s="7"/>
      <c r="F348" s="7"/>
    </row>
    <row r="349" spans="1:6" x14ac:dyDescent="0.25">
      <c r="A349" s="6"/>
      <c r="D349" s="7"/>
      <c r="E349" s="7"/>
      <c r="F349" s="7"/>
    </row>
    <row r="350" spans="1:6" x14ac:dyDescent="0.25">
      <c r="A350" s="6"/>
      <c r="D350" s="7"/>
      <c r="E350" s="7"/>
      <c r="F350" s="7"/>
    </row>
    <row r="351" spans="1:6" x14ac:dyDescent="0.25">
      <c r="A351" s="6"/>
      <c r="D351" s="7"/>
      <c r="E351" s="7"/>
      <c r="F351" s="7"/>
    </row>
    <row r="352" spans="1:6" x14ac:dyDescent="0.25">
      <c r="A352" s="6"/>
      <c r="D352" s="7"/>
      <c r="E352" s="7"/>
      <c r="F352" s="7"/>
    </row>
    <row r="353" spans="1:6" x14ac:dyDescent="0.25">
      <c r="A353" s="6"/>
      <c r="D353" s="7"/>
      <c r="E353" s="7"/>
      <c r="F353" s="7"/>
    </row>
    <row r="354" spans="1:6" x14ac:dyDescent="0.25">
      <c r="A354" s="6"/>
      <c r="D354" s="7"/>
      <c r="E354" s="7"/>
      <c r="F354" s="7"/>
    </row>
    <row r="355" spans="1:6" x14ac:dyDescent="0.25">
      <c r="A355" s="6"/>
      <c r="D355" s="7"/>
      <c r="E355" s="7"/>
      <c r="F355" s="7"/>
    </row>
    <row r="356" spans="1:6" x14ac:dyDescent="0.25">
      <c r="A356" s="6"/>
      <c r="D356" s="7"/>
      <c r="E356" s="7"/>
      <c r="F356" s="7"/>
    </row>
    <row r="357" spans="1:6" x14ac:dyDescent="0.25">
      <c r="A357" s="6"/>
      <c r="D357" s="7"/>
      <c r="E357" s="7"/>
      <c r="F357" s="7"/>
    </row>
    <row r="358" spans="1:6" x14ac:dyDescent="0.25">
      <c r="A358" s="6"/>
      <c r="D358" s="7"/>
      <c r="E358" s="7"/>
      <c r="F358" s="7"/>
    </row>
    <row r="359" spans="1:6" x14ac:dyDescent="0.25">
      <c r="A359" s="6"/>
      <c r="D359" s="7"/>
      <c r="E359" s="7"/>
      <c r="F359" s="7"/>
    </row>
    <row r="360" spans="1:6" x14ac:dyDescent="0.25">
      <c r="A360" s="6"/>
      <c r="D360" s="7"/>
      <c r="E360" s="7"/>
      <c r="F360" s="7"/>
    </row>
    <row r="361" spans="1:6" x14ac:dyDescent="0.25">
      <c r="A361" s="6"/>
      <c r="D361" s="7"/>
      <c r="E361" s="7"/>
      <c r="F361" s="7"/>
    </row>
    <row r="362" spans="1:6" x14ac:dyDescent="0.25">
      <c r="A362" s="6"/>
      <c r="D362" s="7"/>
      <c r="E362" s="7"/>
      <c r="F362" s="7"/>
    </row>
    <row r="363" spans="1:6" x14ac:dyDescent="0.25">
      <c r="A363" s="6"/>
      <c r="D363" s="7"/>
      <c r="E363" s="7"/>
      <c r="F363" s="7"/>
    </row>
    <row r="364" spans="1:6" x14ac:dyDescent="0.25">
      <c r="A364" s="6"/>
      <c r="D364" s="7"/>
      <c r="E364" s="7"/>
      <c r="F364" s="7"/>
    </row>
    <row r="365" spans="1:6" x14ac:dyDescent="0.25">
      <c r="A365" s="6"/>
      <c r="D365" s="7"/>
      <c r="E365" s="7"/>
      <c r="F365" s="7"/>
    </row>
    <row r="366" spans="1:6" x14ac:dyDescent="0.25">
      <c r="A366" s="6"/>
      <c r="D366" s="7"/>
      <c r="E366" s="7"/>
      <c r="F366" s="7"/>
    </row>
    <row r="367" spans="1:6" x14ac:dyDescent="0.25">
      <c r="A367" s="6"/>
      <c r="D367" s="7"/>
      <c r="E367" s="7"/>
      <c r="F367" s="7"/>
    </row>
    <row r="368" spans="1:6" x14ac:dyDescent="0.25">
      <c r="A368" s="6"/>
      <c r="D368" s="7"/>
      <c r="E368" s="7"/>
      <c r="F368" s="7"/>
    </row>
    <row r="369" spans="1:6" x14ac:dyDescent="0.25">
      <c r="A369" s="6"/>
      <c r="D369" s="7"/>
      <c r="E369" s="7"/>
      <c r="F369" s="7"/>
    </row>
    <row r="370" spans="1:6" x14ac:dyDescent="0.25">
      <c r="A370" s="6"/>
      <c r="D370" s="7"/>
      <c r="E370" s="7"/>
      <c r="F370" s="7"/>
    </row>
    <row r="371" spans="1:6" x14ac:dyDescent="0.25">
      <c r="A371" s="6"/>
      <c r="D371" s="7"/>
      <c r="E371" s="7"/>
      <c r="F371" s="7"/>
    </row>
    <row r="372" spans="1:6" x14ac:dyDescent="0.25">
      <c r="A372" s="6"/>
      <c r="D372" s="7"/>
      <c r="E372" s="7"/>
      <c r="F372" s="7"/>
    </row>
    <row r="373" spans="1:6" x14ac:dyDescent="0.25">
      <c r="A373" s="6"/>
      <c r="D373" s="7"/>
      <c r="E373" s="7"/>
      <c r="F373" s="7"/>
    </row>
    <row r="374" spans="1:6" x14ac:dyDescent="0.25">
      <c r="A374" s="6"/>
      <c r="D374" s="7"/>
      <c r="E374" s="7"/>
      <c r="F374" s="7"/>
    </row>
    <row r="375" spans="1:6" x14ac:dyDescent="0.25">
      <c r="A375" s="6"/>
      <c r="D375" s="7"/>
      <c r="E375" s="7"/>
      <c r="F375" s="7"/>
    </row>
    <row r="376" spans="1:6" x14ac:dyDescent="0.25">
      <c r="A376" s="6"/>
      <c r="D376" s="7"/>
      <c r="E376" s="7"/>
      <c r="F376" s="7"/>
    </row>
    <row r="377" spans="1:6" x14ac:dyDescent="0.25">
      <c r="A377" s="6"/>
      <c r="D377" s="7"/>
      <c r="E377" s="7"/>
      <c r="F377" s="7"/>
    </row>
    <row r="378" spans="1:6" x14ac:dyDescent="0.25">
      <c r="A378" s="6"/>
      <c r="D378" s="7"/>
      <c r="E378" s="7"/>
      <c r="F378" s="7"/>
    </row>
    <row r="379" spans="1:6" x14ac:dyDescent="0.25">
      <c r="A379" s="6"/>
      <c r="D379" s="7"/>
      <c r="E379" s="7"/>
      <c r="F379" s="7"/>
    </row>
    <row r="380" spans="1:6" x14ac:dyDescent="0.25">
      <c r="A380" s="6"/>
      <c r="D380" s="7"/>
      <c r="E380" s="7"/>
      <c r="F380" s="7"/>
    </row>
    <row r="381" spans="1:6" x14ac:dyDescent="0.25">
      <c r="A381" s="6"/>
      <c r="D381" s="7"/>
      <c r="E381" s="7"/>
      <c r="F381" s="7"/>
    </row>
    <row r="382" spans="1:6" x14ac:dyDescent="0.25">
      <c r="A382" s="6"/>
      <c r="D382" s="7"/>
      <c r="E382" s="7"/>
      <c r="F382" s="7"/>
    </row>
    <row r="383" spans="1:6" x14ac:dyDescent="0.25">
      <c r="A383" s="6"/>
      <c r="D383" s="7"/>
      <c r="E383" s="7"/>
      <c r="F383" s="7"/>
    </row>
    <row r="384" spans="1:6" x14ac:dyDescent="0.25">
      <c r="A384" s="6"/>
      <c r="D384" s="7"/>
      <c r="E384" s="7"/>
      <c r="F384" s="7"/>
    </row>
    <row r="385" spans="1:6" x14ac:dyDescent="0.25">
      <c r="A385" s="6"/>
      <c r="D385" s="7"/>
      <c r="E385" s="7"/>
      <c r="F385" s="7"/>
    </row>
    <row r="386" spans="1:6" x14ac:dyDescent="0.25">
      <c r="A386" s="6"/>
      <c r="D386" s="7"/>
      <c r="E386" s="7"/>
      <c r="F386" s="7"/>
    </row>
    <row r="387" spans="1:6" x14ac:dyDescent="0.25">
      <c r="A387" s="6"/>
      <c r="D387" s="7"/>
      <c r="E387" s="7"/>
      <c r="F387" s="7"/>
    </row>
    <row r="388" spans="1:6" x14ac:dyDescent="0.25">
      <c r="A388" s="6"/>
      <c r="D388" s="7"/>
      <c r="E388" s="7"/>
      <c r="F388" s="7"/>
    </row>
    <row r="389" spans="1:6" x14ac:dyDescent="0.25">
      <c r="A389" s="6"/>
      <c r="D389" s="7"/>
      <c r="E389" s="7"/>
      <c r="F389" s="7"/>
    </row>
    <row r="390" spans="1:6" x14ac:dyDescent="0.25">
      <c r="A390" s="6"/>
      <c r="D390" s="7"/>
      <c r="E390" s="7"/>
      <c r="F390" s="7"/>
    </row>
    <row r="391" spans="1:6" x14ac:dyDescent="0.25">
      <c r="A391" s="6"/>
      <c r="D391" s="7"/>
      <c r="E391" s="7"/>
      <c r="F391" s="7"/>
    </row>
    <row r="392" spans="1:6" x14ac:dyDescent="0.25">
      <c r="A392" s="6"/>
      <c r="D392" s="7"/>
      <c r="E392" s="7"/>
      <c r="F392" s="7"/>
    </row>
    <row r="393" spans="1:6" x14ac:dyDescent="0.25">
      <c r="A393" s="6"/>
      <c r="D393" s="7"/>
      <c r="E393" s="7"/>
      <c r="F393" s="7"/>
    </row>
    <row r="394" spans="1:6" x14ac:dyDescent="0.25">
      <c r="A394" s="6"/>
      <c r="D394" s="7"/>
      <c r="E394" s="7"/>
      <c r="F394" s="7"/>
    </row>
    <row r="395" spans="1:6" x14ac:dyDescent="0.25">
      <c r="A395" s="6"/>
      <c r="D395" s="7"/>
      <c r="E395" s="7"/>
      <c r="F395" s="7"/>
    </row>
    <row r="396" spans="1:6" x14ac:dyDescent="0.25">
      <c r="A396" s="6"/>
      <c r="D396" s="7"/>
      <c r="E396" s="7"/>
      <c r="F396" s="7"/>
    </row>
    <row r="397" spans="1:6" x14ac:dyDescent="0.25">
      <c r="A397" s="6"/>
      <c r="D397" s="7"/>
      <c r="E397" s="7"/>
      <c r="F397" s="7"/>
    </row>
    <row r="398" spans="1:6" x14ac:dyDescent="0.25">
      <c r="A398" s="6"/>
      <c r="D398" s="7"/>
      <c r="E398" s="7"/>
      <c r="F398" s="7"/>
    </row>
    <row r="399" spans="1:6" x14ac:dyDescent="0.25">
      <c r="A399" s="6"/>
      <c r="D399" s="7"/>
      <c r="E399" s="7"/>
      <c r="F399" s="7"/>
    </row>
    <row r="400" spans="1:6" x14ac:dyDescent="0.25">
      <c r="A400" s="6"/>
      <c r="D400" s="7"/>
      <c r="E400" s="7"/>
      <c r="F400" s="7"/>
    </row>
    <row r="401" spans="1:6" x14ac:dyDescent="0.25">
      <c r="A401" s="6"/>
      <c r="D401" s="7"/>
      <c r="E401" s="7"/>
      <c r="F401" s="7"/>
    </row>
    <row r="402" spans="1:6" x14ac:dyDescent="0.25">
      <c r="A402" s="6"/>
      <c r="D402" s="7"/>
      <c r="E402" s="7"/>
      <c r="F402" s="7"/>
    </row>
    <row r="403" spans="1:6" x14ac:dyDescent="0.25">
      <c r="A403" s="6"/>
      <c r="D403" s="7"/>
      <c r="E403" s="7"/>
      <c r="F403" s="7"/>
    </row>
    <row r="404" spans="1:6" x14ac:dyDescent="0.25">
      <c r="A404" s="6"/>
      <c r="D404" s="7"/>
      <c r="E404" s="7"/>
      <c r="F404" s="7"/>
    </row>
    <row r="405" spans="1:6" x14ac:dyDescent="0.25">
      <c r="A405" s="6"/>
      <c r="D405" s="7"/>
      <c r="E405" s="7"/>
      <c r="F405" s="7"/>
    </row>
    <row r="406" spans="1:6" x14ac:dyDescent="0.25">
      <c r="A406" s="6"/>
      <c r="D406" s="7"/>
      <c r="E406" s="7"/>
      <c r="F406" s="7"/>
    </row>
    <row r="407" spans="1:6" x14ac:dyDescent="0.25">
      <c r="A407" s="6"/>
      <c r="D407" s="7"/>
      <c r="E407" s="7"/>
      <c r="F407" s="7"/>
    </row>
    <row r="408" spans="1:6" x14ac:dyDescent="0.25">
      <c r="A408" s="6"/>
      <c r="D408" s="7"/>
      <c r="E408" s="7"/>
      <c r="F408" s="7"/>
    </row>
    <row r="409" spans="1:6" x14ac:dyDescent="0.25">
      <c r="A409" s="6"/>
      <c r="D409" s="7"/>
      <c r="E409" s="7"/>
      <c r="F409" s="7"/>
    </row>
    <row r="410" spans="1:6" x14ac:dyDescent="0.25">
      <c r="A410" s="6"/>
      <c r="D410" s="7"/>
      <c r="E410" s="7"/>
      <c r="F410" s="7"/>
    </row>
    <row r="411" spans="1:6" x14ac:dyDescent="0.25">
      <c r="A411" s="6"/>
      <c r="D411" s="7"/>
      <c r="E411" s="7"/>
      <c r="F411" s="7"/>
    </row>
    <row r="412" spans="1:6" x14ac:dyDescent="0.25">
      <c r="A412" s="6"/>
      <c r="D412" s="7"/>
      <c r="E412" s="7"/>
      <c r="F412" s="7"/>
    </row>
    <row r="413" spans="1:6" x14ac:dyDescent="0.25">
      <c r="A413" s="6"/>
      <c r="D413" s="7"/>
      <c r="E413" s="7"/>
      <c r="F413" s="7"/>
    </row>
    <row r="414" spans="1:6" x14ac:dyDescent="0.25">
      <c r="A414" s="6"/>
      <c r="D414" s="7"/>
      <c r="E414" s="7"/>
      <c r="F414" s="7"/>
    </row>
    <row r="415" spans="1:6" x14ac:dyDescent="0.25">
      <c r="A415" s="6"/>
      <c r="D415" s="7"/>
      <c r="E415" s="7"/>
      <c r="F415" s="7"/>
    </row>
    <row r="416" spans="1:6" x14ac:dyDescent="0.25">
      <c r="A416" s="6"/>
      <c r="D416" s="7"/>
      <c r="E416" s="7"/>
      <c r="F416" s="7"/>
    </row>
    <row r="417" spans="1:6" x14ac:dyDescent="0.25">
      <c r="A417" s="6"/>
      <c r="D417" s="7"/>
      <c r="E417" s="7"/>
      <c r="F417" s="7"/>
    </row>
    <row r="418" spans="1:6" x14ac:dyDescent="0.25">
      <c r="A418" s="6"/>
      <c r="D418" s="7"/>
      <c r="E418" s="7"/>
      <c r="F418" s="7"/>
    </row>
    <row r="419" spans="1:6" x14ac:dyDescent="0.25">
      <c r="A419" s="6"/>
      <c r="D419" s="7"/>
      <c r="E419" s="7"/>
      <c r="F419" s="7"/>
    </row>
    <row r="420" spans="1:6" x14ac:dyDescent="0.25">
      <c r="A420" s="6"/>
      <c r="D420" s="7"/>
      <c r="E420" s="7"/>
      <c r="F420" s="7"/>
    </row>
    <row r="421" spans="1:6" x14ac:dyDescent="0.25">
      <c r="A421" s="6"/>
      <c r="D421" s="7"/>
      <c r="E421" s="7"/>
      <c r="F421" s="7"/>
    </row>
    <row r="422" spans="1:6" x14ac:dyDescent="0.25">
      <c r="A422" s="6"/>
      <c r="D422" s="7"/>
      <c r="E422" s="7"/>
      <c r="F422" s="7"/>
    </row>
    <row r="423" spans="1:6" x14ac:dyDescent="0.25">
      <c r="A423" s="6"/>
      <c r="D423" s="7"/>
      <c r="E423" s="7"/>
      <c r="F423" s="7"/>
    </row>
    <row r="424" spans="1:6" x14ac:dyDescent="0.25">
      <c r="A424" s="6"/>
      <c r="D424" s="7"/>
      <c r="E424" s="7"/>
      <c r="F424" s="7"/>
    </row>
    <row r="425" spans="1:6" x14ac:dyDescent="0.25">
      <c r="A425" s="6"/>
      <c r="D425" s="7"/>
      <c r="E425" s="7"/>
      <c r="F425" s="7"/>
    </row>
    <row r="426" spans="1:6" x14ac:dyDescent="0.25">
      <c r="A426" s="6"/>
      <c r="D426" s="7"/>
      <c r="E426" s="7"/>
      <c r="F426" s="7"/>
    </row>
    <row r="427" spans="1:6" x14ac:dyDescent="0.25">
      <c r="A427" s="6"/>
      <c r="D427" s="7"/>
      <c r="E427" s="7"/>
      <c r="F427" s="7"/>
    </row>
    <row r="428" spans="1:6" x14ac:dyDescent="0.25">
      <c r="A428" s="6"/>
      <c r="D428" s="7"/>
      <c r="E428" s="7"/>
      <c r="F428" s="7"/>
    </row>
    <row r="429" spans="1:6" x14ac:dyDescent="0.25">
      <c r="A429" s="6"/>
      <c r="D429" s="7"/>
      <c r="E429" s="7"/>
      <c r="F429" s="7"/>
    </row>
    <row r="430" spans="1:6" x14ac:dyDescent="0.25">
      <c r="A430" s="6"/>
      <c r="D430" s="7"/>
      <c r="E430" s="7"/>
      <c r="F430" s="7"/>
    </row>
    <row r="431" spans="1:6" x14ac:dyDescent="0.25">
      <c r="A431" s="6"/>
      <c r="D431" s="7"/>
      <c r="E431" s="7"/>
      <c r="F431" s="7"/>
    </row>
    <row r="432" spans="1:6" x14ac:dyDescent="0.25">
      <c r="A432" s="6"/>
      <c r="D432" s="7"/>
      <c r="E432" s="7"/>
      <c r="F432" s="7"/>
    </row>
    <row r="433" spans="1:6" x14ac:dyDescent="0.25">
      <c r="A433" s="6"/>
      <c r="D433" s="7"/>
      <c r="E433" s="7"/>
      <c r="F433" s="7"/>
    </row>
    <row r="434" spans="1:6" x14ac:dyDescent="0.25">
      <c r="A434" s="6"/>
      <c r="D434" s="7"/>
      <c r="E434" s="7"/>
      <c r="F434" s="7"/>
    </row>
    <row r="435" spans="1:6" x14ac:dyDescent="0.25">
      <c r="A435" s="6"/>
      <c r="D435" s="7"/>
      <c r="E435" s="7"/>
      <c r="F435" s="7"/>
    </row>
    <row r="436" spans="1:6" x14ac:dyDescent="0.25">
      <c r="A436" s="6"/>
      <c r="D436" s="7"/>
      <c r="E436" s="7"/>
      <c r="F436" s="7"/>
    </row>
    <row r="437" spans="1:6" x14ac:dyDescent="0.25">
      <c r="A437" s="6"/>
      <c r="D437" s="7"/>
      <c r="E437" s="7"/>
      <c r="F437" s="7"/>
    </row>
    <row r="438" spans="1:6" x14ac:dyDescent="0.25">
      <c r="A438" s="6"/>
      <c r="D438" s="7"/>
      <c r="E438" s="7"/>
      <c r="F438" s="7"/>
    </row>
    <row r="439" spans="1:6" x14ac:dyDescent="0.25">
      <c r="A439" s="6"/>
      <c r="D439" s="7"/>
      <c r="E439" s="7"/>
      <c r="F439" s="7"/>
    </row>
    <row r="440" spans="1:6" x14ac:dyDescent="0.25">
      <c r="A440" s="6"/>
      <c r="D440" s="7"/>
      <c r="E440" s="7"/>
      <c r="F440" s="7"/>
    </row>
    <row r="441" spans="1:6" x14ac:dyDescent="0.25">
      <c r="A441" s="6"/>
      <c r="D441" s="7"/>
      <c r="E441" s="7"/>
      <c r="F441" s="7"/>
    </row>
    <row r="442" spans="1:6" x14ac:dyDescent="0.25">
      <c r="A442" s="6"/>
      <c r="D442" s="7"/>
      <c r="E442" s="7"/>
      <c r="F442" s="7"/>
    </row>
    <row r="443" spans="1:6" x14ac:dyDescent="0.25">
      <c r="A443" s="6"/>
      <c r="D443" s="7"/>
      <c r="E443" s="7"/>
      <c r="F443" s="7"/>
    </row>
    <row r="444" spans="1:6" x14ac:dyDescent="0.25">
      <c r="A444" s="6"/>
      <c r="D444" s="7"/>
      <c r="E444" s="7"/>
      <c r="F444" s="7"/>
    </row>
    <row r="445" spans="1:6" x14ac:dyDescent="0.25">
      <c r="A445" s="6"/>
      <c r="D445" s="7"/>
      <c r="E445" s="7"/>
      <c r="F445" s="7"/>
    </row>
    <row r="446" spans="1:6" x14ac:dyDescent="0.25">
      <c r="A446" s="6"/>
      <c r="D446" s="7"/>
      <c r="E446" s="7"/>
      <c r="F446" s="7"/>
    </row>
    <row r="447" spans="1:6" x14ac:dyDescent="0.25">
      <c r="A447" s="6"/>
      <c r="D447" s="7"/>
      <c r="E447" s="7"/>
      <c r="F447" s="7"/>
    </row>
    <row r="448" spans="1:6" x14ac:dyDescent="0.25">
      <c r="A448" s="6"/>
      <c r="D448" s="7"/>
      <c r="E448" s="7"/>
      <c r="F448" s="7"/>
    </row>
    <row r="449" spans="1:6" x14ac:dyDescent="0.25">
      <c r="A449" s="6"/>
      <c r="D449" s="7"/>
      <c r="E449" s="7"/>
      <c r="F449" s="7"/>
    </row>
    <row r="450" spans="1:6" x14ac:dyDescent="0.25">
      <c r="A450" s="6"/>
      <c r="D450" s="7"/>
      <c r="E450" s="7"/>
      <c r="F450" s="7"/>
    </row>
    <row r="451" spans="1:6" x14ac:dyDescent="0.25">
      <c r="A451" s="6"/>
      <c r="D451" s="7"/>
      <c r="E451" s="7"/>
      <c r="F451" s="7"/>
    </row>
    <row r="452" spans="1:6" x14ac:dyDescent="0.25">
      <c r="A452" s="6"/>
      <c r="D452" s="7"/>
      <c r="E452" s="7"/>
      <c r="F452" s="7"/>
    </row>
    <row r="453" spans="1:6" x14ac:dyDescent="0.25">
      <c r="A453" s="6"/>
      <c r="D453" s="7"/>
      <c r="E453" s="7"/>
      <c r="F453" s="7"/>
    </row>
    <row r="454" spans="1:6" x14ac:dyDescent="0.25">
      <c r="A454" s="6"/>
      <c r="D454" s="7"/>
      <c r="E454" s="7"/>
      <c r="F454" s="7"/>
    </row>
    <row r="455" spans="1:6" x14ac:dyDescent="0.25">
      <c r="A455" s="6"/>
      <c r="D455" s="7"/>
      <c r="E455" s="7"/>
      <c r="F455" s="7"/>
    </row>
    <row r="456" spans="1:6" x14ac:dyDescent="0.25">
      <c r="A456" s="6"/>
      <c r="D456" s="7"/>
      <c r="E456" s="7"/>
      <c r="F456" s="7"/>
    </row>
    <row r="457" spans="1:6" x14ac:dyDescent="0.25">
      <c r="A457" s="6"/>
      <c r="D457" s="7"/>
      <c r="E457" s="7"/>
      <c r="F457" s="7"/>
    </row>
    <row r="458" spans="1:6" x14ac:dyDescent="0.25">
      <c r="A458" s="6"/>
      <c r="D458" s="7"/>
      <c r="E458" s="7"/>
      <c r="F458" s="7"/>
    </row>
    <row r="459" spans="1:6" x14ac:dyDescent="0.25">
      <c r="A459" s="6"/>
      <c r="D459" s="7"/>
      <c r="E459" s="7"/>
      <c r="F459" s="7"/>
    </row>
    <row r="460" spans="1:6" x14ac:dyDescent="0.25">
      <c r="A460" s="6"/>
      <c r="D460" s="7"/>
      <c r="E460" s="7"/>
      <c r="F460" s="7"/>
    </row>
    <row r="461" spans="1:6" x14ac:dyDescent="0.25">
      <c r="A461" s="6"/>
      <c r="D461" s="7"/>
      <c r="E461" s="7"/>
      <c r="F461" s="7"/>
    </row>
    <row r="462" spans="1:6" x14ac:dyDescent="0.25">
      <c r="A462" s="6"/>
      <c r="D462" s="7"/>
      <c r="E462" s="7"/>
      <c r="F462" s="7"/>
    </row>
    <row r="463" spans="1:6" x14ac:dyDescent="0.25">
      <c r="A463" s="6"/>
      <c r="D463" s="7"/>
      <c r="E463" s="7"/>
      <c r="F463" s="7"/>
    </row>
    <row r="464" spans="1:6" x14ac:dyDescent="0.25">
      <c r="A464" s="6"/>
      <c r="D464" s="7"/>
      <c r="E464" s="7"/>
      <c r="F464" s="7"/>
    </row>
    <row r="465" spans="1:6" x14ac:dyDescent="0.25">
      <c r="A465" s="6"/>
      <c r="D465" s="7"/>
      <c r="E465" s="7"/>
      <c r="F465" s="7"/>
    </row>
    <row r="466" spans="1:6" x14ac:dyDescent="0.25">
      <c r="A466" s="6"/>
      <c r="D466" s="7"/>
      <c r="E466" s="7"/>
      <c r="F466" s="7"/>
    </row>
    <row r="467" spans="1:6" x14ac:dyDescent="0.25">
      <c r="A467" s="6"/>
      <c r="D467" s="7"/>
      <c r="E467" s="7"/>
      <c r="F467" s="7"/>
    </row>
    <row r="468" spans="1:6" x14ac:dyDescent="0.25">
      <c r="A468" s="6"/>
      <c r="D468" s="7"/>
      <c r="E468" s="7"/>
      <c r="F468" s="7"/>
    </row>
    <row r="469" spans="1:6" x14ac:dyDescent="0.25">
      <c r="A469" s="6"/>
      <c r="D469" s="7"/>
      <c r="E469" s="7"/>
      <c r="F469" s="7"/>
    </row>
    <row r="470" spans="1:6" x14ac:dyDescent="0.25">
      <c r="A470" s="6"/>
      <c r="D470" s="7"/>
      <c r="E470" s="7"/>
      <c r="F470" s="7"/>
    </row>
    <row r="471" spans="1:6" x14ac:dyDescent="0.25">
      <c r="A471" s="6"/>
      <c r="D471" s="7"/>
      <c r="E471" s="7"/>
      <c r="F471" s="7"/>
    </row>
    <row r="472" spans="1:6" x14ac:dyDescent="0.25">
      <c r="A472" s="6"/>
      <c r="D472" s="7"/>
      <c r="E472" s="7"/>
      <c r="F472" s="7"/>
    </row>
    <row r="473" spans="1:6" x14ac:dyDescent="0.25">
      <c r="A473" s="6"/>
      <c r="D473" s="7"/>
      <c r="E473" s="7"/>
      <c r="F473" s="7"/>
    </row>
    <row r="474" spans="1:6" x14ac:dyDescent="0.25">
      <c r="A474" s="6"/>
      <c r="D474" s="7"/>
      <c r="E474" s="7"/>
      <c r="F474" s="7"/>
    </row>
    <row r="475" spans="1:6" x14ac:dyDescent="0.25">
      <c r="A475" s="6"/>
      <c r="D475" s="7"/>
      <c r="E475" s="7"/>
      <c r="F475" s="7"/>
    </row>
    <row r="476" spans="1:6" x14ac:dyDescent="0.25">
      <c r="A476" s="6"/>
      <c r="D476" s="7"/>
      <c r="E476" s="7"/>
      <c r="F476" s="7"/>
    </row>
    <row r="477" spans="1:6" x14ac:dyDescent="0.25">
      <c r="A477" s="6"/>
      <c r="D477" s="7"/>
      <c r="E477" s="7"/>
      <c r="F477" s="7"/>
    </row>
    <row r="478" spans="1:6" x14ac:dyDescent="0.25">
      <c r="A478" s="6"/>
      <c r="D478" s="7"/>
      <c r="E478" s="7"/>
      <c r="F478" s="7"/>
    </row>
    <row r="479" spans="1:6" x14ac:dyDescent="0.25">
      <c r="A479" s="6"/>
      <c r="D479" s="7"/>
      <c r="E479" s="7"/>
      <c r="F479" s="7"/>
    </row>
    <row r="480" spans="1:6" x14ac:dyDescent="0.25">
      <c r="A480" s="6"/>
      <c r="D480" s="7"/>
      <c r="E480" s="7"/>
      <c r="F480" s="7"/>
    </row>
    <row r="481" spans="1:6" x14ac:dyDescent="0.25">
      <c r="A481" s="6"/>
      <c r="D481" s="7"/>
      <c r="E481" s="7"/>
      <c r="F481" s="7"/>
    </row>
    <row r="482" spans="1:6" x14ac:dyDescent="0.25">
      <c r="A482" s="6"/>
      <c r="D482" s="7"/>
      <c r="E482" s="7"/>
      <c r="F482" s="7"/>
    </row>
    <row r="483" spans="1:6" x14ac:dyDescent="0.25">
      <c r="A483" s="6"/>
      <c r="D483" s="7"/>
      <c r="E483" s="7"/>
      <c r="F483" s="7"/>
    </row>
    <row r="484" spans="1:6" x14ac:dyDescent="0.25">
      <c r="A484" s="6"/>
      <c r="D484" s="7"/>
      <c r="E484" s="7"/>
      <c r="F484" s="7"/>
    </row>
    <row r="485" spans="1:6" x14ac:dyDescent="0.25">
      <c r="A485" s="6"/>
      <c r="D485" s="7"/>
      <c r="E485" s="7"/>
      <c r="F485" s="7"/>
    </row>
    <row r="486" spans="1:6" x14ac:dyDescent="0.25">
      <c r="A486" s="6"/>
      <c r="D486" s="7"/>
      <c r="E486" s="7"/>
      <c r="F486" s="7"/>
    </row>
    <row r="487" spans="1:6" x14ac:dyDescent="0.25">
      <c r="A487" s="6"/>
      <c r="D487" s="7"/>
      <c r="E487" s="7"/>
      <c r="F487" s="7"/>
    </row>
    <row r="488" spans="1:6" x14ac:dyDescent="0.25">
      <c r="A488" s="6"/>
      <c r="D488" s="7"/>
      <c r="E488" s="7"/>
      <c r="F488" s="7"/>
    </row>
    <row r="489" spans="1:6" x14ac:dyDescent="0.25">
      <c r="A489" s="6"/>
      <c r="D489" s="7"/>
      <c r="E489" s="7"/>
      <c r="F489" s="7"/>
    </row>
    <row r="490" spans="1:6" x14ac:dyDescent="0.25">
      <c r="A490" s="6"/>
      <c r="D490" s="7"/>
      <c r="E490" s="7"/>
      <c r="F490" s="7"/>
    </row>
    <row r="491" spans="1:6" x14ac:dyDescent="0.25">
      <c r="A491" s="6"/>
      <c r="D491" s="7"/>
      <c r="E491" s="7"/>
      <c r="F491" s="7"/>
    </row>
    <row r="492" spans="1:6" x14ac:dyDescent="0.25">
      <c r="A492" s="6"/>
      <c r="D492" s="7"/>
      <c r="E492" s="7"/>
      <c r="F492" s="7"/>
    </row>
    <row r="493" spans="1:6" x14ac:dyDescent="0.25">
      <c r="A493" s="6"/>
      <c r="D493" s="7"/>
      <c r="E493" s="7"/>
      <c r="F493" s="7"/>
    </row>
    <row r="494" spans="1:6" x14ac:dyDescent="0.25">
      <c r="A494" s="6"/>
      <c r="D494" s="7"/>
      <c r="E494" s="7"/>
      <c r="F494" s="7"/>
    </row>
    <row r="495" spans="1:6" x14ac:dyDescent="0.25">
      <c r="A495" s="6"/>
      <c r="D495" s="7"/>
      <c r="E495" s="7"/>
      <c r="F495" s="7"/>
    </row>
    <row r="496" spans="1:6" x14ac:dyDescent="0.25">
      <c r="A496" s="6"/>
      <c r="D496" s="7"/>
      <c r="E496" s="7"/>
      <c r="F496" s="7"/>
    </row>
    <row r="497" spans="1:6" x14ac:dyDescent="0.25">
      <c r="A497" s="6"/>
      <c r="D497" s="7"/>
      <c r="E497" s="7"/>
      <c r="F497" s="7"/>
    </row>
    <row r="498" spans="1:6" x14ac:dyDescent="0.25">
      <c r="A498" s="6"/>
      <c r="D498" s="7"/>
      <c r="E498" s="7"/>
      <c r="F498" s="7"/>
    </row>
    <row r="499" spans="1:6" x14ac:dyDescent="0.25">
      <c r="A499" s="6"/>
      <c r="D499" s="7"/>
      <c r="E499" s="7"/>
      <c r="F499" s="7"/>
    </row>
    <row r="500" spans="1:6" x14ac:dyDescent="0.25">
      <c r="A500" s="6"/>
      <c r="D500" s="7"/>
      <c r="E500" s="7"/>
      <c r="F500" s="7"/>
    </row>
    <row r="501" spans="1:6" x14ac:dyDescent="0.25">
      <c r="A501" s="6"/>
      <c r="D501" s="7"/>
      <c r="E501" s="7"/>
      <c r="F501" s="7"/>
    </row>
    <row r="502" spans="1:6" x14ac:dyDescent="0.25">
      <c r="A502" s="6"/>
      <c r="D502" s="7"/>
      <c r="E502" s="7"/>
      <c r="F502" s="7"/>
    </row>
    <row r="503" spans="1:6" x14ac:dyDescent="0.25">
      <c r="A503" s="6"/>
      <c r="D503" s="7"/>
      <c r="E503" s="7"/>
      <c r="F503" s="7"/>
    </row>
    <row r="504" spans="1:6" x14ac:dyDescent="0.25">
      <c r="A504" s="6"/>
      <c r="D504" s="7"/>
      <c r="E504" s="7"/>
      <c r="F504" s="7"/>
    </row>
    <row r="505" spans="1:6" x14ac:dyDescent="0.25">
      <c r="A505" s="6"/>
      <c r="D505" s="7"/>
      <c r="E505" s="7"/>
      <c r="F505" s="7"/>
    </row>
    <row r="506" spans="1:6" x14ac:dyDescent="0.25">
      <c r="A506" s="6"/>
      <c r="D506" s="7"/>
      <c r="E506" s="7"/>
      <c r="F506" s="7"/>
    </row>
    <row r="507" spans="1:6" x14ac:dyDescent="0.25">
      <c r="A507" s="6"/>
      <c r="D507" s="7"/>
      <c r="E507" s="7"/>
      <c r="F507" s="7"/>
    </row>
    <row r="508" spans="1:6" x14ac:dyDescent="0.25">
      <c r="A508" s="6"/>
      <c r="D508" s="7"/>
      <c r="E508" s="7"/>
      <c r="F508" s="7"/>
    </row>
    <row r="509" spans="1:6" x14ac:dyDescent="0.25">
      <c r="A509" s="6"/>
      <c r="D509" s="7"/>
      <c r="E509" s="7"/>
      <c r="F509" s="7"/>
    </row>
    <row r="510" spans="1:6" x14ac:dyDescent="0.25">
      <c r="A510" s="6"/>
      <c r="D510" s="7"/>
      <c r="E510" s="7"/>
      <c r="F510" s="7"/>
    </row>
    <row r="511" spans="1:6" x14ac:dyDescent="0.25">
      <c r="A511" s="6"/>
      <c r="D511" s="7"/>
      <c r="E511" s="7"/>
      <c r="F511" s="7"/>
    </row>
    <row r="512" spans="1:6" x14ac:dyDescent="0.25">
      <c r="A512" s="6"/>
      <c r="D512" s="7"/>
      <c r="E512" s="7"/>
      <c r="F512" s="7"/>
    </row>
    <row r="513" spans="1:6" x14ac:dyDescent="0.25">
      <c r="A513" s="6"/>
      <c r="D513" s="7"/>
      <c r="E513" s="7"/>
      <c r="F513" s="7"/>
    </row>
    <row r="514" spans="1:6" x14ac:dyDescent="0.25">
      <c r="A514" s="6"/>
      <c r="D514" s="7"/>
      <c r="E514" s="7"/>
      <c r="F514" s="7"/>
    </row>
    <row r="515" spans="1:6" x14ac:dyDescent="0.25">
      <c r="A515" s="6"/>
      <c r="D515" s="7"/>
      <c r="E515" s="7"/>
      <c r="F515" s="7"/>
    </row>
    <row r="516" spans="1:6" x14ac:dyDescent="0.25">
      <c r="A516" s="6"/>
      <c r="D516" s="7"/>
      <c r="E516" s="7"/>
      <c r="F516" s="7"/>
    </row>
    <row r="517" spans="1:6" x14ac:dyDescent="0.25">
      <c r="A517" s="6"/>
      <c r="D517" s="7"/>
      <c r="E517" s="7"/>
      <c r="F517" s="7"/>
    </row>
    <row r="518" spans="1:6" x14ac:dyDescent="0.25">
      <c r="A518" s="6"/>
      <c r="D518" s="7"/>
      <c r="E518" s="7"/>
      <c r="F518" s="7"/>
    </row>
    <row r="519" spans="1:6" x14ac:dyDescent="0.25">
      <c r="A519" s="6"/>
      <c r="D519" s="7"/>
      <c r="E519" s="7"/>
      <c r="F519" s="7"/>
    </row>
    <row r="520" spans="1:6" x14ac:dyDescent="0.25">
      <c r="A520" s="6"/>
      <c r="D520" s="7"/>
      <c r="E520" s="7"/>
      <c r="F520" s="7"/>
    </row>
    <row r="521" spans="1:6" x14ac:dyDescent="0.25">
      <c r="A521" s="6"/>
      <c r="D521" s="7"/>
      <c r="E521" s="7"/>
      <c r="F521" s="7"/>
    </row>
    <row r="522" spans="1:6" x14ac:dyDescent="0.25">
      <c r="A522" s="6"/>
      <c r="D522" s="7"/>
      <c r="E522" s="7"/>
      <c r="F522" s="7"/>
    </row>
    <row r="523" spans="1:6" x14ac:dyDescent="0.25">
      <c r="A523" s="6"/>
      <c r="D523" s="7"/>
      <c r="E523" s="7"/>
      <c r="F523" s="7"/>
    </row>
    <row r="524" spans="1:6" x14ac:dyDescent="0.25">
      <c r="A524" s="6"/>
      <c r="D524" s="7"/>
      <c r="E524" s="7"/>
      <c r="F524" s="7"/>
    </row>
    <row r="525" spans="1:6" x14ac:dyDescent="0.25">
      <c r="A525" s="6"/>
      <c r="D525" s="7"/>
      <c r="E525" s="7"/>
      <c r="F525" s="7"/>
    </row>
    <row r="526" spans="1:6" x14ac:dyDescent="0.25">
      <c r="A526" s="6"/>
      <c r="D526" s="7"/>
      <c r="E526" s="7"/>
      <c r="F526" s="7"/>
    </row>
    <row r="527" spans="1:6" x14ac:dyDescent="0.25">
      <c r="A527" s="6"/>
      <c r="D527" s="7"/>
      <c r="E527" s="7"/>
      <c r="F527" s="7"/>
    </row>
    <row r="528" spans="1:6" x14ac:dyDescent="0.25">
      <c r="A528" s="6"/>
      <c r="D528" s="7"/>
      <c r="E528" s="7"/>
      <c r="F528" s="7"/>
    </row>
    <row r="529" spans="1:6" x14ac:dyDescent="0.25">
      <c r="A529" s="6"/>
      <c r="D529" s="7"/>
      <c r="E529" s="7"/>
      <c r="F529" s="7"/>
    </row>
    <row r="530" spans="1:6" x14ac:dyDescent="0.25">
      <c r="A530" s="6"/>
      <c r="D530" s="7"/>
      <c r="E530" s="7"/>
      <c r="F530" s="7"/>
    </row>
    <row r="531" spans="1:6" x14ac:dyDescent="0.25">
      <c r="A531" s="6"/>
      <c r="D531" s="7"/>
      <c r="E531" s="7"/>
      <c r="F531" s="7"/>
    </row>
    <row r="532" spans="1:6" x14ac:dyDescent="0.25">
      <c r="A532" s="6"/>
      <c r="D532" s="7"/>
      <c r="E532" s="7"/>
      <c r="F532" s="7"/>
    </row>
    <row r="533" spans="1:6" x14ac:dyDescent="0.25">
      <c r="A533" s="6"/>
      <c r="D533" s="7"/>
      <c r="E533" s="7"/>
      <c r="F533" s="7"/>
    </row>
    <row r="534" spans="1:6" x14ac:dyDescent="0.25">
      <c r="A534" s="6"/>
      <c r="D534" s="7"/>
      <c r="E534" s="7"/>
      <c r="F534" s="7"/>
    </row>
    <row r="535" spans="1:6" x14ac:dyDescent="0.25">
      <c r="A535" s="6"/>
      <c r="D535" s="7"/>
      <c r="E535" s="7"/>
      <c r="F535" s="7"/>
    </row>
    <row r="536" spans="1:6" x14ac:dyDescent="0.25">
      <c r="A536" s="6"/>
      <c r="D536" s="7"/>
      <c r="E536" s="7"/>
      <c r="F536" s="7"/>
    </row>
    <row r="537" spans="1:6" x14ac:dyDescent="0.25">
      <c r="A537" s="6"/>
      <c r="D537" s="7"/>
      <c r="E537" s="7"/>
      <c r="F537" s="7"/>
    </row>
    <row r="538" spans="1:6" x14ac:dyDescent="0.25">
      <c r="A538" s="6"/>
      <c r="D538" s="7"/>
      <c r="E538" s="7"/>
      <c r="F538" s="7"/>
    </row>
    <row r="539" spans="1:6" x14ac:dyDescent="0.25">
      <c r="A539" s="6"/>
      <c r="D539" s="7"/>
      <c r="E539" s="7"/>
      <c r="F539" s="7"/>
    </row>
    <row r="540" spans="1:6" x14ac:dyDescent="0.25">
      <c r="A540" s="6"/>
      <c r="D540" s="7"/>
      <c r="E540" s="7"/>
      <c r="F540" s="7"/>
    </row>
    <row r="541" spans="1:6" x14ac:dyDescent="0.25">
      <c r="A541" s="6"/>
      <c r="D541" s="7"/>
      <c r="E541" s="7"/>
      <c r="F541" s="7"/>
    </row>
    <row r="542" spans="1:6" x14ac:dyDescent="0.25">
      <c r="A542" s="6"/>
      <c r="D542" s="7"/>
      <c r="E542" s="7"/>
      <c r="F542" s="7"/>
    </row>
    <row r="543" spans="1:6" x14ac:dyDescent="0.25">
      <c r="A543" s="6"/>
      <c r="D543" s="7"/>
      <c r="E543" s="7"/>
      <c r="F543" s="7"/>
    </row>
    <row r="544" spans="1:6" x14ac:dyDescent="0.25">
      <c r="A544" s="6"/>
      <c r="D544" s="7"/>
      <c r="E544" s="7"/>
      <c r="F544" s="7"/>
    </row>
    <row r="545" spans="1:6" x14ac:dyDescent="0.25">
      <c r="A545" s="6"/>
      <c r="D545" s="7"/>
      <c r="E545" s="7"/>
      <c r="F545" s="7"/>
    </row>
    <row r="546" spans="1:6" x14ac:dyDescent="0.25">
      <c r="A546" s="6"/>
      <c r="D546" s="7"/>
      <c r="E546" s="7"/>
      <c r="F546" s="7"/>
    </row>
    <row r="547" spans="1:6" x14ac:dyDescent="0.25">
      <c r="A547" s="6"/>
      <c r="D547" s="7"/>
      <c r="E547" s="7"/>
      <c r="F547" s="7"/>
    </row>
    <row r="548" spans="1:6" x14ac:dyDescent="0.25">
      <c r="A548" s="6"/>
      <c r="D548" s="7"/>
      <c r="E548" s="7"/>
      <c r="F548" s="7"/>
    </row>
    <row r="549" spans="1:6" x14ac:dyDescent="0.25">
      <c r="A549" s="6"/>
      <c r="D549" s="7"/>
      <c r="E549" s="7"/>
      <c r="F549" s="7"/>
    </row>
    <row r="550" spans="1:6" x14ac:dyDescent="0.25">
      <c r="A550" s="6"/>
      <c r="D550" s="7"/>
      <c r="E550" s="7"/>
      <c r="F550" s="7"/>
    </row>
    <row r="551" spans="1:6" x14ac:dyDescent="0.25">
      <c r="A551" s="6"/>
      <c r="D551" s="7"/>
      <c r="E551" s="7"/>
      <c r="F551" s="7"/>
    </row>
    <row r="552" spans="1:6" x14ac:dyDescent="0.25">
      <c r="A552" s="6"/>
      <c r="D552" s="7"/>
      <c r="E552" s="7"/>
      <c r="F552" s="7"/>
    </row>
    <row r="553" spans="1:6" x14ac:dyDescent="0.25">
      <c r="A553" s="6"/>
      <c r="D553" s="7"/>
      <c r="E553" s="7"/>
      <c r="F553" s="7"/>
    </row>
    <row r="554" spans="1:6" x14ac:dyDescent="0.25">
      <c r="A554" s="6"/>
      <c r="D554" s="7"/>
      <c r="E554" s="7"/>
      <c r="F554" s="7"/>
    </row>
    <row r="555" spans="1:6" x14ac:dyDescent="0.25">
      <c r="A555" s="6"/>
      <c r="D555" s="7"/>
      <c r="E555" s="7"/>
      <c r="F555" s="7"/>
    </row>
    <row r="556" spans="1:6" x14ac:dyDescent="0.25">
      <c r="A556" s="6"/>
      <c r="D556" s="7"/>
      <c r="E556" s="7"/>
      <c r="F556" s="7"/>
    </row>
    <row r="557" spans="1:6" x14ac:dyDescent="0.25">
      <c r="A557" s="6"/>
      <c r="D557" s="7"/>
      <c r="E557" s="7"/>
      <c r="F557" s="7"/>
    </row>
    <row r="558" spans="1:6" x14ac:dyDescent="0.25">
      <c r="A558" s="6"/>
      <c r="D558" s="7"/>
      <c r="E558" s="7"/>
      <c r="F558" s="7"/>
    </row>
    <row r="559" spans="1:6" x14ac:dyDescent="0.25">
      <c r="A559" s="6"/>
      <c r="D559" s="7"/>
      <c r="E559" s="7"/>
      <c r="F559" s="7"/>
    </row>
    <row r="560" spans="1:6" x14ac:dyDescent="0.25">
      <c r="A560" s="6"/>
      <c r="D560" s="7"/>
      <c r="E560" s="7"/>
      <c r="F560" s="7"/>
    </row>
    <row r="561" spans="1:6" x14ac:dyDescent="0.25">
      <c r="A561" s="6"/>
      <c r="D561" s="7"/>
      <c r="E561" s="7"/>
      <c r="F561" s="7"/>
    </row>
    <row r="562" spans="1:6" x14ac:dyDescent="0.25">
      <c r="A562" s="6"/>
      <c r="D562" s="7"/>
      <c r="E562" s="7"/>
      <c r="F562" s="7"/>
    </row>
    <row r="563" spans="1:6" x14ac:dyDescent="0.25">
      <c r="A563" s="6"/>
      <c r="D563" s="7"/>
      <c r="E563" s="7"/>
      <c r="F563" s="7"/>
    </row>
    <row r="564" spans="1:6" x14ac:dyDescent="0.25">
      <c r="A564" s="6"/>
      <c r="D564" s="7"/>
      <c r="E564" s="7"/>
      <c r="F564" s="7"/>
    </row>
    <row r="565" spans="1:6" x14ac:dyDescent="0.25">
      <c r="A565" s="6"/>
      <c r="D565" s="7"/>
      <c r="E565" s="7"/>
      <c r="F565" s="7"/>
    </row>
    <row r="566" spans="1:6" x14ac:dyDescent="0.25">
      <c r="A566" s="6"/>
      <c r="D566" s="7"/>
      <c r="E566" s="7"/>
      <c r="F566" s="7"/>
    </row>
    <row r="567" spans="1:6" x14ac:dyDescent="0.25">
      <c r="A567" s="6"/>
      <c r="D567" s="7"/>
      <c r="E567" s="7"/>
      <c r="F567" s="7"/>
    </row>
    <row r="568" spans="1:6" x14ac:dyDescent="0.25">
      <c r="A568" s="6"/>
      <c r="D568" s="7"/>
      <c r="E568" s="7"/>
      <c r="F568" s="7"/>
    </row>
    <row r="569" spans="1:6" x14ac:dyDescent="0.25">
      <c r="A569" s="6"/>
      <c r="D569" s="7"/>
      <c r="E569" s="7"/>
      <c r="F569" s="7"/>
    </row>
    <row r="570" spans="1:6" x14ac:dyDescent="0.25">
      <c r="A570" s="6"/>
      <c r="D570" s="7"/>
      <c r="E570" s="7"/>
      <c r="F570" s="7"/>
    </row>
    <row r="571" spans="1:6" x14ac:dyDescent="0.25">
      <c r="A571" s="6"/>
      <c r="D571" s="7"/>
      <c r="E571" s="7"/>
      <c r="F571" s="7"/>
    </row>
    <row r="572" spans="1:6" x14ac:dyDescent="0.25">
      <c r="A572" s="6"/>
      <c r="D572" s="7"/>
      <c r="E572" s="7"/>
      <c r="F572" s="7"/>
    </row>
    <row r="573" spans="1:6" x14ac:dyDescent="0.25">
      <c r="A573" s="6"/>
      <c r="D573" s="7"/>
      <c r="E573" s="7"/>
      <c r="F573" s="7"/>
    </row>
    <row r="574" spans="1:6" x14ac:dyDescent="0.25">
      <c r="A574" s="6"/>
      <c r="D574" s="7"/>
      <c r="E574" s="7"/>
      <c r="F574" s="7"/>
    </row>
    <row r="575" spans="1:6" x14ac:dyDescent="0.25">
      <c r="A575" s="6"/>
      <c r="D575" s="7"/>
      <c r="E575" s="7"/>
      <c r="F575" s="7"/>
    </row>
    <row r="576" spans="1:6" x14ac:dyDescent="0.25">
      <c r="A576" s="6"/>
      <c r="D576" s="7"/>
      <c r="E576" s="7"/>
      <c r="F576" s="7"/>
    </row>
    <row r="577" spans="1:6" x14ac:dyDescent="0.25">
      <c r="A577" s="6"/>
      <c r="D577" s="7"/>
      <c r="E577" s="7"/>
      <c r="F577" s="7"/>
    </row>
    <row r="578" spans="1:6" x14ac:dyDescent="0.25">
      <c r="A578" s="6"/>
      <c r="D578" s="7"/>
      <c r="E578" s="7"/>
      <c r="F578" s="7"/>
    </row>
    <row r="579" spans="1:6" x14ac:dyDescent="0.25">
      <c r="A579" s="6"/>
      <c r="D579" s="7"/>
      <c r="E579" s="7"/>
      <c r="F579" s="7"/>
    </row>
    <row r="580" spans="1:6" x14ac:dyDescent="0.25">
      <c r="A580" s="6"/>
      <c r="D580" s="7"/>
      <c r="E580" s="7"/>
      <c r="F580" s="7"/>
    </row>
    <row r="581" spans="1:6" x14ac:dyDescent="0.25">
      <c r="A581" s="6"/>
      <c r="D581" s="7"/>
      <c r="E581" s="7"/>
      <c r="F581" s="7"/>
    </row>
    <row r="582" spans="1:6" x14ac:dyDescent="0.25">
      <c r="A582" s="6"/>
      <c r="D582" s="7"/>
      <c r="E582" s="7"/>
      <c r="F582" s="7"/>
    </row>
    <row r="583" spans="1:6" x14ac:dyDescent="0.25">
      <c r="A583" s="6"/>
      <c r="D583" s="7"/>
      <c r="E583" s="7"/>
      <c r="F583" s="7"/>
    </row>
    <row r="584" spans="1:6" x14ac:dyDescent="0.25">
      <c r="A584" s="6"/>
      <c r="D584" s="7"/>
      <c r="E584" s="7"/>
      <c r="F584" s="7"/>
    </row>
    <row r="585" spans="1:6" x14ac:dyDescent="0.25">
      <c r="A585" s="6"/>
      <c r="D585" s="7"/>
      <c r="E585" s="7"/>
      <c r="F585" s="7"/>
    </row>
    <row r="586" spans="1:6" x14ac:dyDescent="0.25">
      <c r="A586" s="6"/>
      <c r="D586" s="7"/>
      <c r="E586" s="7"/>
      <c r="F586" s="7"/>
    </row>
    <row r="587" spans="1:6" x14ac:dyDescent="0.25">
      <c r="A587" s="6"/>
      <c r="D587" s="7"/>
      <c r="E587" s="7"/>
      <c r="F587" s="7"/>
    </row>
    <row r="588" spans="1:6" x14ac:dyDescent="0.25">
      <c r="A588" s="6"/>
      <c r="D588" s="7"/>
      <c r="E588" s="7"/>
      <c r="F588" s="7"/>
    </row>
    <row r="589" spans="1:6" x14ac:dyDescent="0.25">
      <c r="A589" s="6"/>
      <c r="D589" s="7"/>
      <c r="E589" s="7"/>
      <c r="F589" s="7"/>
    </row>
    <row r="590" spans="1:6" x14ac:dyDescent="0.25">
      <c r="A590" s="6"/>
      <c r="D590" s="7"/>
      <c r="E590" s="7"/>
      <c r="F590" s="7"/>
    </row>
    <row r="591" spans="1:6" x14ac:dyDescent="0.25">
      <c r="A591" s="6"/>
      <c r="D591" s="7"/>
      <c r="E591" s="7"/>
      <c r="F591" s="7"/>
    </row>
    <row r="592" spans="1:6" x14ac:dyDescent="0.25">
      <c r="A592" s="6"/>
      <c r="D592" s="7"/>
      <c r="E592" s="7"/>
      <c r="F592" s="7"/>
    </row>
    <row r="593" spans="1:6" x14ac:dyDescent="0.25">
      <c r="A593" s="6"/>
      <c r="D593" s="7"/>
      <c r="E593" s="7"/>
      <c r="F593" s="7"/>
    </row>
    <row r="594" spans="1:6" x14ac:dyDescent="0.25">
      <c r="A594" s="6"/>
      <c r="D594" s="7"/>
      <c r="E594" s="7"/>
      <c r="F594" s="7"/>
    </row>
    <row r="595" spans="1:6" x14ac:dyDescent="0.25">
      <c r="A595" s="6"/>
      <c r="D595" s="7"/>
      <c r="E595" s="7"/>
      <c r="F595" s="7"/>
    </row>
    <row r="596" spans="1:6" x14ac:dyDescent="0.25">
      <c r="A596" s="6"/>
      <c r="D596" s="7"/>
      <c r="E596" s="7"/>
      <c r="F596" s="7"/>
    </row>
    <row r="597" spans="1:6" x14ac:dyDescent="0.25">
      <c r="A597" s="6"/>
      <c r="D597" s="7"/>
      <c r="E597" s="7"/>
      <c r="F597" s="7"/>
    </row>
    <row r="598" spans="1:6" x14ac:dyDescent="0.25">
      <c r="A598" s="6"/>
      <c r="D598" s="7"/>
      <c r="E598" s="7"/>
      <c r="F598" s="7"/>
    </row>
    <row r="599" spans="1:6" x14ac:dyDescent="0.25">
      <c r="A599" s="6"/>
      <c r="D599" s="7"/>
      <c r="E599" s="7"/>
      <c r="F599" s="7"/>
    </row>
    <row r="600" spans="1:6" x14ac:dyDescent="0.25">
      <c r="A600" s="6"/>
      <c r="D600" s="7"/>
      <c r="E600" s="7"/>
      <c r="F600" s="7"/>
    </row>
    <row r="601" spans="1:6" x14ac:dyDescent="0.25">
      <c r="A601" s="6"/>
      <c r="D601" s="7"/>
      <c r="E601" s="7"/>
      <c r="F601" s="7"/>
    </row>
    <row r="602" spans="1:6" x14ac:dyDescent="0.25">
      <c r="A602" s="6"/>
      <c r="D602" s="7"/>
      <c r="E602" s="7"/>
      <c r="F602" s="7"/>
    </row>
    <row r="603" spans="1:6" x14ac:dyDescent="0.25">
      <c r="A603" s="6"/>
      <c r="D603" s="7"/>
      <c r="E603" s="7"/>
      <c r="F603" s="7"/>
    </row>
    <row r="604" spans="1:6" x14ac:dyDescent="0.25">
      <c r="A604" s="6"/>
      <c r="D604" s="7"/>
      <c r="E604" s="7"/>
      <c r="F604" s="7"/>
    </row>
    <row r="605" spans="1:6" x14ac:dyDescent="0.25">
      <c r="A605" s="6"/>
      <c r="D605" s="7"/>
      <c r="E605" s="7"/>
      <c r="F605" s="7"/>
    </row>
    <row r="606" spans="1:6" x14ac:dyDescent="0.25">
      <c r="A606" s="6"/>
      <c r="D606" s="7"/>
      <c r="E606" s="7"/>
      <c r="F606" s="7"/>
    </row>
    <row r="607" spans="1:6" x14ac:dyDescent="0.25">
      <c r="A607" s="6"/>
      <c r="D607" s="7"/>
      <c r="E607" s="7"/>
      <c r="F607" s="7"/>
    </row>
    <row r="608" spans="1:6" x14ac:dyDescent="0.25">
      <c r="A608" s="6"/>
      <c r="D608" s="7"/>
      <c r="E608" s="7"/>
      <c r="F608" s="7"/>
    </row>
    <row r="609" spans="1:6" x14ac:dyDescent="0.25">
      <c r="A609" s="6"/>
      <c r="D609" s="7"/>
      <c r="E609" s="7"/>
      <c r="F609" s="7"/>
    </row>
    <row r="610" spans="1:6" x14ac:dyDescent="0.25">
      <c r="A610" s="6"/>
      <c r="D610" s="7"/>
      <c r="E610" s="7"/>
      <c r="F610" s="7"/>
    </row>
    <row r="611" spans="1:6" x14ac:dyDescent="0.25">
      <c r="A611" s="6"/>
      <c r="D611" s="7"/>
      <c r="E611" s="7"/>
      <c r="F611" s="7"/>
    </row>
    <row r="612" spans="1:6" x14ac:dyDescent="0.25">
      <c r="A612" s="6"/>
      <c r="D612" s="7"/>
      <c r="E612" s="7"/>
      <c r="F612" s="7"/>
    </row>
    <row r="613" spans="1:6" x14ac:dyDescent="0.25">
      <c r="A613" s="6"/>
      <c r="D613" s="7"/>
      <c r="E613" s="7"/>
      <c r="F613" s="7"/>
    </row>
    <row r="614" spans="1:6" x14ac:dyDescent="0.25">
      <c r="A614" s="6"/>
      <c r="D614" s="7"/>
      <c r="E614" s="7"/>
      <c r="F614" s="7"/>
    </row>
    <row r="615" spans="1:6" x14ac:dyDescent="0.25">
      <c r="A615" s="6"/>
      <c r="D615" s="7"/>
      <c r="E615" s="7"/>
      <c r="F615" s="7"/>
    </row>
    <row r="616" spans="1:6" x14ac:dyDescent="0.25">
      <c r="A616" s="6"/>
      <c r="D616" s="7"/>
      <c r="E616" s="7"/>
      <c r="F616" s="7"/>
    </row>
    <row r="617" spans="1:6" x14ac:dyDescent="0.25">
      <c r="A617" s="6"/>
      <c r="D617" s="7"/>
      <c r="E617" s="7"/>
      <c r="F617" s="7"/>
    </row>
    <row r="618" spans="1:6" x14ac:dyDescent="0.25">
      <c r="A618" s="6"/>
      <c r="D618" s="7"/>
      <c r="E618" s="7"/>
      <c r="F618" s="7"/>
    </row>
    <row r="619" spans="1:6" x14ac:dyDescent="0.25">
      <c r="A619" s="6"/>
      <c r="D619" s="7"/>
      <c r="E619" s="7"/>
      <c r="F619" s="7"/>
    </row>
    <row r="620" spans="1:6" x14ac:dyDescent="0.25">
      <c r="A620" s="6"/>
      <c r="D620" s="7"/>
      <c r="E620" s="7"/>
      <c r="F620" s="7"/>
    </row>
    <row r="621" spans="1:6" x14ac:dyDescent="0.25">
      <c r="A621" s="6"/>
      <c r="D621" s="7"/>
      <c r="E621" s="7"/>
      <c r="F621" s="7"/>
    </row>
    <row r="622" spans="1:6" x14ac:dyDescent="0.25">
      <c r="A622" s="6"/>
      <c r="D622" s="7"/>
      <c r="E622" s="7"/>
      <c r="F622" s="7"/>
    </row>
    <row r="623" spans="1:6" x14ac:dyDescent="0.25">
      <c r="A623" s="6"/>
      <c r="D623" s="7"/>
      <c r="E623" s="7"/>
      <c r="F623" s="7"/>
    </row>
    <row r="624" spans="1:6" x14ac:dyDescent="0.25">
      <c r="A624" s="6"/>
      <c r="D624" s="7"/>
      <c r="E624" s="7"/>
      <c r="F624" s="7"/>
    </row>
    <row r="625" spans="1:6" x14ac:dyDescent="0.25">
      <c r="A625" s="6"/>
      <c r="D625" s="7"/>
      <c r="E625" s="7"/>
      <c r="F625" s="7"/>
    </row>
    <row r="626" spans="1:6" x14ac:dyDescent="0.25">
      <c r="A626" s="6"/>
      <c r="D626" s="7"/>
      <c r="E626" s="7"/>
      <c r="F626" s="7"/>
    </row>
    <row r="627" spans="1:6" x14ac:dyDescent="0.25">
      <c r="A627" s="6"/>
      <c r="D627" s="7"/>
      <c r="E627" s="7"/>
      <c r="F627" s="7"/>
    </row>
    <row r="628" spans="1:6" x14ac:dyDescent="0.25">
      <c r="A628" s="6"/>
      <c r="D628" s="7"/>
      <c r="E628" s="7"/>
      <c r="F628" s="7"/>
    </row>
    <row r="629" spans="1:6" x14ac:dyDescent="0.25">
      <c r="A629" s="6"/>
      <c r="D629" s="7"/>
      <c r="E629" s="7"/>
      <c r="F629" s="7"/>
    </row>
    <row r="630" spans="1:6" x14ac:dyDescent="0.25">
      <c r="A630" s="6"/>
      <c r="D630" s="7"/>
      <c r="E630" s="7"/>
      <c r="F630" s="7"/>
    </row>
    <row r="631" spans="1:6" x14ac:dyDescent="0.25">
      <c r="A631" s="6"/>
      <c r="D631" s="7"/>
      <c r="E631" s="7"/>
      <c r="F631" s="7"/>
    </row>
    <row r="632" spans="1:6" x14ac:dyDescent="0.25">
      <c r="A632" s="6"/>
      <c r="D632" s="7"/>
      <c r="E632" s="7"/>
      <c r="F632" s="7"/>
    </row>
    <row r="633" spans="1:6" x14ac:dyDescent="0.25">
      <c r="A633" s="6"/>
      <c r="D633" s="7"/>
      <c r="E633" s="7"/>
      <c r="F633" s="7"/>
    </row>
    <row r="634" spans="1:6" x14ac:dyDescent="0.25">
      <c r="A634" s="6"/>
      <c r="D634" s="7"/>
      <c r="E634" s="7"/>
      <c r="F634" s="7"/>
    </row>
    <row r="635" spans="1:6" x14ac:dyDescent="0.25">
      <c r="A635" s="6"/>
      <c r="D635" s="7"/>
      <c r="E635" s="7"/>
      <c r="F635" s="7"/>
    </row>
    <row r="636" spans="1:6" x14ac:dyDescent="0.25">
      <c r="A636" s="6"/>
      <c r="D636" s="7"/>
      <c r="E636" s="7"/>
      <c r="F636" s="7"/>
    </row>
    <row r="637" spans="1:6" x14ac:dyDescent="0.25">
      <c r="A637" s="6"/>
      <c r="D637" s="7"/>
      <c r="E637" s="7"/>
      <c r="F637" s="7"/>
    </row>
    <row r="638" spans="1:6" x14ac:dyDescent="0.25">
      <c r="A638" s="6"/>
      <c r="D638" s="7"/>
      <c r="E638" s="7"/>
      <c r="F638" s="7"/>
    </row>
    <row r="639" spans="1:6" x14ac:dyDescent="0.25">
      <c r="A639" s="6"/>
      <c r="D639" s="7"/>
      <c r="E639" s="7"/>
      <c r="F639" s="7"/>
    </row>
    <row r="640" spans="1:6" x14ac:dyDescent="0.25">
      <c r="A640" s="6"/>
      <c r="D640" s="7"/>
      <c r="E640" s="7"/>
      <c r="F640" s="7"/>
    </row>
    <row r="641" spans="1:6" x14ac:dyDescent="0.25">
      <c r="A641" s="6"/>
      <c r="D641" s="7"/>
      <c r="E641" s="7"/>
      <c r="F641" s="7"/>
    </row>
    <row r="642" spans="1:6" x14ac:dyDescent="0.25">
      <c r="A642" s="6"/>
      <c r="D642" s="7"/>
      <c r="E642" s="7"/>
      <c r="F642" s="7"/>
    </row>
    <row r="643" spans="1:6" x14ac:dyDescent="0.25">
      <c r="A643" s="6"/>
      <c r="D643" s="7"/>
      <c r="E643" s="7"/>
      <c r="F643" s="7"/>
    </row>
    <row r="644" spans="1:6" x14ac:dyDescent="0.25">
      <c r="A644" s="6"/>
      <c r="D644" s="7"/>
      <c r="E644" s="7"/>
      <c r="F644" s="7"/>
    </row>
    <row r="645" spans="1:6" x14ac:dyDescent="0.25">
      <c r="A645" s="6"/>
      <c r="D645" s="7"/>
      <c r="E645" s="7"/>
      <c r="F645" s="7"/>
    </row>
    <row r="646" spans="1:6" x14ac:dyDescent="0.25">
      <c r="A646" s="6"/>
      <c r="D646" s="7"/>
      <c r="E646" s="7"/>
      <c r="F646" s="7"/>
    </row>
    <row r="647" spans="1:6" x14ac:dyDescent="0.25">
      <c r="A647" s="6"/>
      <c r="D647" s="7"/>
      <c r="E647" s="7"/>
      <c r="F647" s="7"/>
    </row>
    <row r="648" spans="1:6" x14ac:dyDescent="0.25">
      <c r="A648" s="6"/>
      <c r="D648" s="7"/>
      <c r="E648" s="7"/>
      <c r="F648" s="7"/>
    </row>
    <row r="649" spans="1:6" x14ac:dyDescent="0.25">
      <c r="A649" s="6"/>
      <c r="D649" s="7"/>
      <c r="E649" s="7"/>
      <c r="F649" s="7"/>
    </row>
    <row r="650" spans="1:6" x14ac:dyDescent="0.25">
      <c r="A650" s="6"/>
      <c r="D650" s="7"/>
      <c r="E650" s="7"/>
      <c r="F650" s="7"/>
    </row>
    <row r="651" spans="1:6" x14ac:dyDescent="0.25">
      <c r="A651" s="6"/>
      <c r="D651" s="7"/>
      <c r="E651" s="7"/>
      <c r="F651" s="7"/>
    </row>
    <row r="652" spans="1:6" x14ac:dyDescent="0.25">
      <c r="A652" s="6"/>
      <c r="D652" s="7"/>
      <c r="E652" s="7"/>
      <c r="F652" s="7"/>
    </row>
    <row r="653" spans="1:6" x14ac:dyDescent="0.25">
      <c r="A653" s="6"/>
      <c r="D653" s="7"/>
      <c r="E653" s="7"/>
      <c r="F653" s="7"/>
    </row>
    <row r="654" spans="1:6" x14ac:dyDescent="0.25">
      <c r="A654" s="6"/>
      <c r="D654" s="7"/>
      <c r="E654" s="7"/>
      <c r="F654" s="7"/>
    </row>
    <row r="655" spans="1:6" x14ac:dyDescent="0.25">
      <c r="A655" s="6"/>
      <c r="D655" s="7"/>
      <c r="E655" s="7"/>
      <c r="F655" s="7"/>
    </row>
    <row r="656" spans="1:6" x14ac:dyDescent="0.25">
      <c r="A656" s="6"/>
      <c r="D656" s="7"/>
      <c r="E656" s="7"/>
      <c r="F656" s="7"/>
    </row>
    <row r="657" spans="1:6" x14ac:dyDescent="0.25">
      <c r="A657" s="6"/>
      <c r="D657" s="7"/>
      <c r="E657" s="7"/>
      <c r="F657" s="7"/>
    </row>
    <row r="658" spans="1:6" x14ac:dyDescent="0.25">
      <c r="A658" s="6"/>
      <c r="D658" s="7"/>
      <c r="E658" s="7"/>
      <c r="F658" s="7"/>
    </row>
    <row r="659" spans="1:6" x14ac:dyDescent="0.25">
      <c r="A659" s="6"/>
      <c r="D659" s="7"/>
      <c r="E659" s="7"/>
      <c r="F659" s="7"/>
    </row>
    <row r="660" spans="1:6" x14ac:dyDescent="0.25">
      <c r="A660" s="6"/>
      <c r="D660" s="7"/>
      <c r="E660" s="7"/>
      <c r="F660" s="7"/>
    </row>
    <row r="661" spans="1:6" x14ac:dyDescent="0.25">
      <c r="A661" s="6"/>
      <c r="D661" s="7"/>
      <c r="E661" s="7"/>
      <c r="F661" s="7"/>
    </row>
    <row r="662" spans="1:6" x14ac:dyDescent="0.25">
      <c r="A662" s="6"/>
      <c r="D662" s="7"/>
      <c r="E662" s="7"/>
      <c r="F662" s="7"/>
    </row>
    <row r="663" spans="1:6" x14ac:dyDescent="0.25">
      <c r="A663" s="6"/>
      <c r="D663" s="7"/>
      <c r="E663" s="7"/>
      <c r="F663" s="7"/>
    </row>
    <row r="664" spans="1:6" x14ac:dyDescent="0.25">
      <c r="A664" s="6"/>
      <c r="D664" s="7"/>
      <c r="E664" s="7"/>
      <c r="F664" s="7"/>
    </row>
    <row r="665" spans="1:6" x14ac:dyDescent="0.25">
      <c r="A665" s="6"/>
      <c r="D665" s="7"/>
      <c r="E665" s="7"/>
      <c r="F665" s="7"/>
    </row>
    <row r="666" spans="1:6" x14ac:dyDescent="0.25">
      <c r="A666" s="6"/>
      <c r="D666" s="7"/>
      <c r="E666" s="7"/>
      <c r="F666" s="7"/>
    </row>
    <row r="667" spans="1:6" x14ac:dyDescent="0.25">
      <c r="A667" s="6"/>
      <c r="D667" s="7"/>
      <c r="E667" s="7"/>
      <c r="F667" s="7"/>
    </row>
    <row r="668" spans="1:6" x14ac:dyDescent="0.25">
      <c r="A668" s="6"/>
      <c r="D668" s="7"/>
      <c r="E668" s="7"/>
      <c r="F668" s="7"/>
    </row>
    <row r="669" spans="1:6" x14ac:dyDescent="0.25">
      <c r="A669" s="6"/>
      <c r="D669" s="7"/>
      <c r="E669" s="7"/>
      <c r="F669" s="7"/>
    </row>
    <row r="670" spans="1:6" x14ac:dyDescent="0.25">
      <c r="A670" s="6"/>
      <c r="D670" s="7"/>
      <c r="E670" s="7"/>
      <c r="F670" s="7"/>
    </row>
    <row r="671" spans="1:6" x14ac:dyDescent="0.25">
      <c r="A671" s="6"/>
      <c r="D671" s="7"/>
      <c r="E671" s="7"/>
      <c r="F671" s="7"/>
    </row>
    <row r="672" spans="1:6" x14ac:dyDescent="0.25">
      <c r="A672" s="6"/>
      <c r="D672" s="7"/>
      <c r="E672" s="7"/>
      <c r="F672" s="7"/>
    </row>
    <row r="673" spans="1:6" x14ac:dyDescent="0.25">
      <c r="A673" s="6"/>
      <c r="D673" s="7"/>
      <c r="E673" s="7"/>
      <c r="F673" s="7"/>
    </row>
    <row r="674" spans="1:6" x14ac:dyDescent="0.25">
      <c r="A674" s="6"/>
      <c r="D674" s="7"/>
      <c r="E674" s="7"/>
      <c r="F674" s="7"/>
    </row>
    <row r="675" spans="1:6" x14ac:dyDescent="0.25">
      <c r="A675" s="6"/>
      <c r="D675" s="7"/>
      <c r="E675" s="7"/>
      <c r="F675" s="7"/>
    </row>
    <row r="676" spans="1:6" x14ac:dyDescent="0.25">
      <c r="A676" s="6"/>
      <c r="D676" s="7"/>
      <c r="E676" s="7"/>
      <c r="F676" s="7"/>
    </row>
    <row r="677" spans="1:6" x14ac:dyDescent="0.25">
      <c r="A677" s="6"/>
      <c r="D677" s="7"/>
      <c r="E677" s="7"/>
      <c r="F677" s="7"/>
    </row>
    <row r="678" spans="1:6" x14ac:dyDescent="0.25">
      <c r="A678" s="6"/>
      <c r="D678" s="7"/>
      <c r="E678" s="7"/>
      <c r="F678" s="7"/>
    </row>
    <row r="679" spans="1:6" x14ac:dyDescent="0.25">
      <c r="A679" s="6"/>
      <c r="D679" s="7"/>
      <c r="E679" s="7"/>
      <c r="F679" s="7"/>
    </row>
    <row r="680" spans="1:6" x14ac:dyDescent="0.25">
      <c r="A680" s="6"/>
      <c r="D680" s="7"/>
      <c r="E680" s="7"/>
      <c r="F680" s="7"/>
    </row>
    <row r="681" spans="1:6" x14ac:dyDescent="0.25">
      <c r="A681" s="6"/>
      <c r="D681" s="7"/>
      <c r="E681" s="7"/>
      <c r="F681" s="7"/>
    </row>
    <row r="682" spans="1:6" x14ac:dyDescent="0.25">
      <c r="A682" s="6"/>
      <c r="D682" s="7"/>
      <c r="E682" s="7"/>
      <c r="F682" s="7"/>
    </row>
    <row r="683" spans="1:6" x14ac:dyDescent="0.25">
      <c r="A683" s="6"/>
      <c r="D683" s="7"/>
      <c r="E683" s="7"/>
      <c r="F683" s="7"/>
    </row>
    <row r="684" spans="1:6" x14ac:dyDescent="0.25">
      <c r="A684" s="6"/>
      <c r="D684" s="7"/>
      <c r="E684" s="7"/>
      <c r="F684" s="7"/>
    </row>
    <row r="685" spans="1:6" x14ac:dyDescent="0.25">
      <c r="A685" s="6"/>
      <c r="D685" s="7"/>
      <c r="E685" s="7"/>
      <c r="F685" s="7"/>
    </row>
    <row r="686" spans="1:6" x14ac:dyDescent="0.25">
      <c r="A686" s="6"/>
      <c r="D686" s="7"/>
      <c r="E686" s="7"/>
      <c r="F686" s="7"/>
    </row>
    <row r="687" spans="1:6" x14ac:dyDescent="0.25">
      <c r="A687" s="6"/>
      <c r="D687" s="7"/>
      <c r="E687" s="7"/>
      <c r="F687" s="7"/>
    </row>
    <row r="688" spans="1:6" x14ac:dyDescent="0.25">
      <c r="A688" s="6"/>
      <c r="D688" s="7"/>
      <c r="E688" s="7"/>
      <c r="F688" s="7"/>
    </row>
    <row r="689" spans="1:6" x14ac:dyDescent="0.25">
      <c r="A689" s="6"/>
      <c r="D689" s="7"/>
      <c r="E689" s="7"/>
      <c r="F689" s="7"/>
    </row>
    <row r="690" spans="1:6" x14ac:dyDescent="0.25">
      <c r="A690" s="6"/>
      <c r="D690" s="7"/>
      <c r="E690" s="7"/>
      <c r="F690" s="7"/>
    </row>
    <row r="691" spans="1:6" x14ac:dyDescent="0.25">
      <c r="A691" s="6"/>
      <c r="D691" s="7"/>
      <c r="E691" s="7"/>
      <c r="F691" s="7"/>
    </row>
    <row r="692" spans="1:6" x14ac:dyDescent="0.25">
      <c r="A692" s="6"/>
      <c r="D692" s="7"/>
      <c r="E692" s="7"/>
      <c r="F692" s="7"/>
    </row>
    <row r="693" spans="1:6" x14ac:dyDescent="0.25">
      <c r="A693" s="6"/>
      <c r="D693" s="7"/>
      <c r="E693" s="7"/>
      <c r="F693" s="7"/>
    </row>
    <row r="694" spans="1:6" x14ac:dyDescent="0.25">
      <c r="A694" s="6"/>
      <c r="D694" s="7"/>
      <c r="E694" s="7"/>
      <c r="F694" s="7"/>
    </row>
    <row r="695" spans="1:6" x14ac:dyDescent="0.25">
      <c r="A695" s="6"/>
      <c r="D695" s="7"/>
      <c r="E695" s="7"/>
      <c r="F695" s="7"/>
    </row>
    <row r="696" spans="1:6" x14ac:dyDescent="0.25">
      <c r="A696" s="6"/>
      <c r="D696" s="7"/>
      <c r="E696" s="7"/>
      <c r="F696" s="7"/>
    </row>
    <row r="697" spans="1:6" x14ac:dyDescent="0.25">
      <c r="A697" s="6"/>
      <c r="D697" s="7"/>
      <c r="E697" s="7"/>
      <c r="F697" s="7"/>
    </row>
    <row r="698" spans="1:6" x14ac:dyDescent="0.25">
      <c r="A698" s="6"/>
      <c r="D698" s="7"/>
      <c r="E698" s="7"/>
      <c r="F698" s="7"/>
    </row>
    <row r="699" spans="1:6" x14ac:dyDescent="0.25">
      <c r="A699" s="6"/>
      <c r="D699" s="7"/>
      <c r="E699" s="7"/>
      <c r="F699" s="7"/>
    </row>
    <row r="700" spans="1:6" x14ac:dyDescent="0.25">
      <c r="A700" s="6"/>
      <c r="D700" s="7"/>
      <c r="E700" s="7"/>
      <c r="F700" s="7"/>
    </row>
    <row r="701" spans="1:6" x14ac:dyDescent="0.25">
      <c r="A701" s="6"/>
      <c r="D701" s="7"/>
      <c r="E701" s="7"/>
      <c r="F701" s="7"/>
    </row>
    <row r="702" spans="1:6" x14ac:dyDescent="0.25">
      <c r="A702" s="6"/>
      <c r="D702" s="7"/>
      <c r="E702" s="7"/>
      <c r="F702" s="7"/>
    </row>
    <row r="703" spans="1:6" x14ac:dyDescent="0.25">
      <c r="A703" s="6"/>
      <c r="D703" s="7"/>
      <c r="E703" s="7"/>
      <c r="F703" s="7"/>
    </row>
    <row r="704" spans="1:6" x14ac:dyDescent="0.25">
      <c r="A704" s="6"/>
      <c r="D704" s="7"/>
      <c r="E704" s="7"/>
      <c r="F704" s="7"/>
    </row>
    <row r="705" spans="1:6" x14ac:dyDescent="0.25">
      <c r="A705" s="6"/>
      <c r="D705" s="7"/>
      <c r="E705" s="7"/>
      <c r="F705" s="7"/>
    </row>
    <row r="706" spans="1:6" x14ac:dyDescent="0.25">
      <c r="A706" s="6"/>
      <c r="D706" s="7"/>
      <c r="E706" s="7"/>
      <c r="F706" s="7"/>
    </row>
    <row r="707" spans="1:6" x14ac:dyDescent="0.25">
      <c r="A707" s="6"/>
      <c r="D707" s="7"/>
      <c r="E707" s="7"/>
      <c r="F707" s="7"/>
    </row>
    <row r="708" spans="1:6" x14ac:dyDescent="0.25">
      <c r="A708" s="6"/>
      <c r="D708" s="7"/>
      <c r="E708" s="7"/>
      <c r="F708" s="7"/>
    </row>
    <row r="709" spans="1:6" x14ac:dyDescent="0.25">
      <c r="A709" s="6"/>
      <c r="D709" s="7"/>
      <c r="E709" s="7"/>
      <c r="F709" s="7"/>
    </row>
    <row r="710" spans="1:6" x14ac:dyDescent="0.25">
      <c r="A710" s="6"/>
      <c r="D710" s="7"/>
      <c r="E710" s="7"/>
      <c r="F710" s="7"/>
    </row>
    <row r="711" spans="1:6" x14ac:dyDescent="0.25">
      <c r="A711" s="6"/>
      <c r="D711" s="7"/>
      <c r="E711" s="7"/>
      <c r="F711" s="7"/>
    </row>
    <row r="712" spans="1:6" x14ac:dyDescent="0.25">
      <c r="A712" s="6"/>
      <c r="D712" s="7"/>
      <c r="E712" s="7"/>
      <c r="F712" s="7"/>
    </row>
    <row r="713" spans="1:6" x14ac:dyDescent="0.25">
      <c r="A713" s="6"/>
      <c r="D713" s="7"/>
      <c r="E713" s="7"/>
      <c r="F713" s="7"/>
    </row>
    <row r="714" spans="1:6" x14ac:dyDescent="0.25">
      <c r="A714" s="6"/>
      <c r="D714" s="7"/>
      <c r="E714" s="7"/>
      <c r="F714" s="7"/>
    </row>
    <row r="715" spans="1:6" x14ac:dyDescent="0.25">
      <c r="A715" s="6"/>
      <c r="D715" s="7"/>
      <c r="E715" s="7"/>
      <c r="F715" s="7"/>
    </row>
    <row r="716" spans="1:6" x14ac:dyDescent="0.25">
      <c r="A716" s="6"/>
      <c r="D716" s="7"/>
      <c r="E716" s="7"/>
      <c r="F716" s="7"/>
    </row>
    <row r="717" spans="1:6" x14ac:dyDescent="0.25">
      <c r="A717" s="6"/>
      <c r="D717" s="7"/>
      <c r="E717" s="7"/>
      <c r="F717" s="7"/>
    </row>
    <row r="718" spans="1:6" x14ac:dyDescent="0.25">
      <c r="A718" s="6"/>
      <c r="D718" s="7"/>
      <c r="E718" s="7"/>
      <c r="F718" s="7"/>
    </row>
    <row r="719" spans="1:6" x14ac:dyDescent="0.25">
      <c r="A719" s="6"/>
      <c r="D719" s="7"/>
      <c r="E719" s="7"/>
      <c r="F719" s="7"/>
    </row>
    <row r="720" spans="1:6" x14ac:dyDescent="0.25">
      <c r="A720" s="6"/>
      <c r="D720" s="7"/>
      <c r="E720" s="7"/>
      <c r="F720" s="7"/>
    </row>
    <row r="721" spans="1:6" x14ac:dyDescent="0.25">
      <c r="A721" s="6"/>
      <c r="D721" s="7"/>
      <c r="E721" s="7"/>
      <c r="F721" s="7"/>
    </row>
    <row r="722" spans="1:6" x14ac:dyDescent="0.25">
      <c r="A722" s="6"/>
      <c r="D722" s="7"/>
      <c r="E722" s="7"/>
      <c r="F722" s="7"/>
    </row>
    <row r="723" spans="1:6" x14ac:dyDescent="0.25">
      <c r="A723" s="6"/>
      <c r="D723" s="7"/>
      <c r="E723" s="7"/>
      <c r="F723" s="7"/>
    </row>
    <row r="724" spans="1:6" x14ac:dyDescent="0.25">
      <c r="A724" s="6"/>
      <c r="D724" s="7"/>
      <c r="E724" s="7"/>
      <c r="F724" s="7"/>
    </row>
    <row r="725" spans="1:6" x14ac:dyDescent="0.25">
      <c r="A725" s="6"/>
      <c r="D725" s="7"/>
      <c r="E725" s="7"/>
      <c r="F725" s="7"/>
    </row>
    <row r="726" spans="1:6" x14ac:dyDescent="0.25">
      <c r="A726" s="6"/>
      <c r="D726" s="7"/>
      <c r="E726" s="7"/>
      <c r="F726" s="7"/>
    </row>
    <row r="727" spans="1:6" x14ac:dyDescent="0.25">
      <c r="A727" s="6"/>
      <c r="D727" s="7"/>
      <c r="E727" s="7"/>
      <c r="F727" s="7"/>
    </row>
    <row r="728" spans="1:6" x14ac:dyDescent="0.25">
      <c r="A728" s="6"/>
      <c r="D728" s="7"/>
      <c r="E728" s="7"/>
      <c r="F728" s="7"/>
    </row>
    <row r="729" spans="1:6" x14ac:dyDescent="0.25">
      <c r="A729" s="6"/>
      <c r="D729" s="7"/>
      <c r="E729" s="7"/>
      <c r="F729" s="7"/>
    </row>
    <row r="730" spans="1:6" x14ac:dyDescent="0.25">
      <c r="A730" s="6"/>
      <c r="D730" s="7"/>
      <c r="E730" s="7"/>
      <c r="F730" s="7"/>
    </row>
    <row r="731" spans="1:6" x14ac:dyDescent="0.25">
      <c r="A731" s="6"/>
      <c r="D731" s="7"/>
      <c r="E731" s="7"/>
      <c r="F731" s="7"/>
    </row>
    <row r="732" spans="1:6" x14ac:dyDescent="0.25">
      <c r="A732" s="6"/>
      <c r="D732" s="7"/>
      <c r="E732" s="7"/>
      <c r="F732" s="7"/>
    </row>
    <row r="733" spans="1:6" x14ac:dyDescent="0.25">
      <c r="A733" s="6"/>
      <c r="D733" s="7"/>
      <c r="E733" s="7"/>
      <c r="F733" s="7"/>
    </row>
    <row r="734" spans="1:6" x14ac:dyDescent="0.25">
      <c r="A734" s="6"/>
      <c r="D734" s="7"/>
      <c r="E734" s="7"/>
      <c r="F734" s="7"/>
    </row>
    <row r="735" spans="1:6" x14ac:dyDescent="0.25">
      <c r="A735" s="6"/>
      <c r="D735" s="7"/>
      <c r="E735" s="7"/>
      <c r="F735" s="7"/>
    </row>
    <row r="736" spans="1:6" x14ac:dyDescent="0.25">
      <c r="A736" s="6"/>
      <c r="D736" s="7"/>
      <c r="E736" s="7"/>
      <c r="F736" s="7"/>
    </row>
    <row r="737" spans="1:6" x14ac:dyDescent="0.25">
      <c r="A737" s="6"/>
      <c r="D737" s="7"/>
      <c r="E737" s="7"/>
      <c r="F737" s="7"/>
    </row>
    <row r="738" spans="1:6" x14ac:dyDescent="0.25">
      <c r="A738" s="6"/>
      <c r="D738" s="7"/>
      <c r="E738" s="7"/>
      <c r="F738" s="7"/>
    </row>
    <row r="739" spans="1:6" x14ac:dyDescent="0.25">
      <c r="A739" s="6"/>
      <c r="D739" s="7"/>
      <c r="E739" s="7"/>
      <c r="F739" s="7"/>
    </row>
    <row r="740" spans="1:6" x14ac:dyDescent="0.25">
      <c r="A740" s="6"/>
      <c r="D740" s="7"/>
      <c r="E740" s="7"/>
      <c r="F740" s="7"/>
    </row>
    <row r="741" spans="1:6" x14ac:dyDescent="0.25">
      <c r="A741" s="6"/>
      <c r="D741" s="7"/>
      <c r="E741" s="7"/>
      <c r="F741" s="7"/>
    </row>
    <row r="742" spans="1:6" x14ac:dyDescent="0.25">
      <c r="A742" s="6"/>
      <c r="D742" s="7"/>
      <c r="E742" s="7"/>
      <c r="F742" s="7"/>
    </row>
    <row r="743" spans="1:6" x14ac:dyDescent="0.25">
      <c r="A743" s="6"/>
      <c r="D743" s="7"/>
      <c r="E743" s="7"/>
      <c r="F743" s="7"/>
    </row>
    <row r="744" spans="1:6" x14ac:dyDescent="0.25">
      <c r="A744" s="6"/>
      <c r="D744" s="7"/>
      <c r="E744" s="7"/>
      <c r="F744" s="7"/>
    </row>
    <row r="745" spans="1:6" x14ac:dyDescent="0.25">
      <c r="A745" s="6"/>
      <c r="D745" s="7"/>
      <c r="E745" s="7"/>
      <c r="F745" s="7"/>
    </row>
    <row r="746" spans="1:6" x14ac:dyDescent="0.25">
      <c r="A746" s="6"/>
      <c r="D746" s="7"/>
      <c r="E746" s="7"/>
      <c r="F746" s="7"/>
    </row>
    <row r="747" spans="1:6" x14ac:dyDescent="0.25">
      <c r="A747" s="6"/>
      <c r="D747" s="7"/>
      <c r="E747" s="7"/>
      <c r="F747" s="7"/>
    </row>
    <row r="748" spans="1:6" x14ac:dyDescent="0.25">
      <c r="A748" s="6"/>
      <c r="D748" s="7"/>
      <c r="E748" s="7"/>
      <c r="F748" s="7"/>
    </row>
    <row r="749" spans="1:6" x14ac:dyDescent="0.25">
      <c r="A749" s="6"/>
      <c r="D749" s="7"/>
      <c r="E749" s="7"/>
      <c r="F749" s="7"/>
    </row>
    <row r="750" spans="1:6" x14ac:dyDescent="0.25">
      <c r="A750" s="6"/>
      <c r="D750" s="7"/>
      <c r="E750" s="7"/>
      <c r="F750" s="7"/>
    </row>
    <row r="751" spans="1:6" x14ac:dyDescent="0.25">
      <c r="A751" s="6"/>
      <c r="D751" s="7"/>
      <c r="E751" s="7"/>
      <c r="F751" s="7"/>
    </row>
    <row r="752" spans="1:6" x14ac:dyDescent="0.25">
      <c r="A752" s="6"/>
      <c r="D752" s="7"/>
      <c r="E752" s="7"/>
      <c r="F752" s="7"/>
    </row>
    <row r="753" spans="1:6" x14ac:dyDescent="0.25">
      <c r="A753" s="6"/>
      <c r="D753" s="7"/>
      <c r="E753" s="7"/>
      <c r="F753" s="7"/>
    </row>
    <row r="754" spans="1:6" x14ac:dyDescent="0.25">
      <c r="A754" s="6"/>
      <c r="D754" s="7"/>
      <c r="E754" s="7"/>
      <c r="F754" s="7"/>
    </row>
    <row r="755" spans="1:6" x14ac:dyDescent="0.25">
      <c r="A755" s="6"/>
      <c r="D755" s="7"/>
      <c r="E755" s="7"/>
      <c r="F755" s="7"/>
    </row>
    <row r="756" spans="1:6" x14ac:dyDescent="0.25">
      <c r="A756" s="6"/>
      <c r="D756" s="7"/>
      <c r="E756" s="7"/>
      <c r="F756" s="7"/>
    </row>
    <row r="757" spans="1:6" x14ac:dyDescent="0.25">
      <c r="A757" s="6"/>
      <c r="D757" s="7"/>
      <c r="E757" s="7"/>
      <c r="F757" s="7"/>
    </row>
    <row r="758" spans="1:6" x14ac:dyDescent="0.25">
      <c r="A758" s="6"/>
      <c r="D758" s="7"/>
      <c r="E758" s="7"/>
      <c r="F758" s="7"/>
    </row>
    <row r="759" spans="1:6" x14ac:dyDescent="0.25">
      <c r="A759" s="6"/>
      <c r="D759" s="7"/>
      <c r="E759" s="7"/>
      <c r="F759" s="7"/>
    </row>
    <row r="760" spans="1:6" x14ac:dyDescent="0.25">
      <c r="A760" s="6"/>
      <c r="D760" s="7"/>
      <c r="E760" s="7"/>
      <c r="F760" s="7"/>
    </row>
    <row r="761" spans="1:6" x14ac:dyDescent="0.25">
      <c r="A761" s="6"/>
      <c r="D761" s="7"/>
      <c r="E761" s="7"/>
      <c r="F761" s="7"/>
    </row>
    <row r="762" spans="1:6" x14ac:dyDescent="0.25">
      <c r="A762" s="6"/>
      <c r="D762" s="7"/>
      <c r="E762" s="7"/>
      <c r="F762" s="7"/>
    </row>
    <row r="763" spans="1:6" x14ac:dyDescent="0.25">
      <c r="A763" s="6"/>
      <c r="D763" s="7"/>
      <c r="E763" s="7"/>
      <c r="F763" s="7"/>
    </row>
    <row r="764" spans="1:6" x14ac:dyDescent="0.25">
      <c r="A764" s="6"/>
      <c r="D764" s="7"/>
      <c r="E764" s="7"/>
      <c r="F764" s="7"/>
    </row>
    <row r="765" spans="1:6" x14ac:dyDescent="0.25">
      <c r="A765" s="6"/>
      <c r="D765" s="7"/>
      <c r="E765" s="7"/>
      <c r="F765" s="7"/>
    </row>
    <row r="766" spans="1:6" x14ac:dyDescent="0.25">
      <c r="A766" s="6"/>
      <c r="D766" s="7"/>
      <c r="E766" s="7"/>
      <c r="F766" s="7"/>
    </row>
    <row r="767" spans="1:6" x14ac:dyDescent="0.25">
      <c r="A767" s="6"/>
      <c r="D767" s="7"/>
      <c r="E767" s="7"/>
      <c r="F767" s="7"/>
    </row>
    <row r="768" spans="1:6" x14ac:dyDescent="0.25">
      <c r="A768" s="6"/>
      <c r="D768" s="7"/>
      <c r="E768" s="7"/>
      <c r="F768" s="7"/>
    </row>
    <row r="769" spans="1:6" x14ac:dyDescent="0.25">
      <c r="A769" s="6"/>
      <c r="D769" s="7"/>
      <c r="E769" s="7"/>
      <c r="F769" s="7"/>
    </row>
    <row r="770" spans="1:6" x14ac:dyDescent="0.25">
      <c r="A770" s="6"/>
      <c r="D770" s="7"/>
      <c r="E770" s="7"/>
      <c r="F770" s="7"/>
    </row>
    <row r="771" spans="1:6" x14ac:dyDescent="0.25">
      <c r="A771" s="6"/>
      <c r="D771" s="7"/>
      <c r="E771" s="7"/>
      <c r="F771" s="7"/>
    </row>
    <row r="772" spans="1:6" x14ac:dyDescent="0.25">
      <c r="A772" s="6"/>
      <c r="D772" s="7"/>
      <c r="E772" s="7"/>
      <c r="F772" s="7"/>
    </row>
    <row r="773" spans="1:6" x14ac:dyDescent="0.25">
      <c r="A773" s="6"/>
      <c r="D773" s="7"/>
      <c r="E773" s="7"/>
      <c r="F773" s="7"/>
    </row>
    <row r="774" spans="1:6" x14ac:dyDescent="0.25">
      <c r="A774" s="6"/>
      <c r="D774" s="7"/>
      <c r="E774" s="7"/>
      <c r="F774" s="7"/>
    </row>
    <row r="775" spans="1:6" x14ac:dyDescent="0.25">
      <c r="A775" s="6"/>
      <c r="D775" s="7"/>
      <c r="E775" s="7"/>
      <c r="F775" s="7"/>
    </row>
    <row r="776" spans="1:6" x14ac:dyDescent="0.25">
      <c r="A776" s="6"/>
      <c r="D776" s="7"/>
      <c r="E776" s="7"/>
      <c r="F776" s="7"/>
    </row>
    <row r="777" spans="1:6" x14ac:dyDescent="0.25">
      <c r="A777" s="6"/>
      <c r="D777" s="7"/>
      <c r="E777" s="7"/>
      <c r="F777" s="7"/>
    </row>
    <row r="778" spans="1:6" x14ac:dyDescent="0.25">
      <c r="A778" s="6"/>
      <c r="D778" s="7"/>
      <c r="E778" s="7"/>
      <c r="F778" s="7"/>
    </row>
    <row r="779" spans="1:6" x14ac:dyDescent="0.25">
      <c r="A779" s="6"/>
      <c r="D779" s="7"/>
      <c r="E779" s="7"/>
      <c r="F779" s="7"/>
    </row>
    <row r="780" spans="1:6" x14ac:dyDescent="0.25">
      <c r="A780" s="6"/>
      <c r="D780" s="7"/>
      <c r="E780" s="7"/>
      <c r="F780" s="7"/>
    </row>
    <row r="781" spans="1:6" x14ac:dyDescent="0.25">
      <c r="A781" s="6"/>
      <c r="D781" s="7"/>
      <c r="E781" s="7"/>
      <c r="F781" s="7"/>
    </row>
    <row r="782" spans="1:6" x14ac:dyDescent="0.25">
      <c r="A782" s="6"/>
      <c r="D782" s="7"/>
      <c r="E782" s="7"/>
      <c r="F782" s="7"/>
    </row>
    <row r="783" spans="1:6" x14ac:dyDescent="0.25">
      <c r="A783" s="6"/>
      <c r="D783" s="7"/>
      <c r="E783" s="7"/>
      <c r="F783" s="7"/>
    </row>
    <row r="784" spans="1:6" x14ac:dyDescent="0.25">
      <c r="A784" s="6"/>
      <c r="D784" s="7"/>
      <c r="E784" s="7"/>
      <c r="F784" s="7"/>
    </row>
    <row r="785" spans="1:6" x14ac:dyDescent="0.25">
      <c r="A785" s="6"/>
      <c r="D785" s="7"/>
      <c r="E785" s="7"/>
      <c r="F785" s="7"/>
    </row>
    <row r="786" spans="1:6" x14ac:dyDescent="0.25">
      <c r="A786" s="6"/>
      <c r="D786" s="7"/>
      <c r="E786" s="7"/>
      <c r="F786" s="7"/>
    </row>
    <row r="787" spans="1:6" x14ac:dyDescent="0.25">
      <c r="A787" s="6"/>
      <c r="D787" s="7"/>
      <c r="E787" s="7"/>
      <c r="F787" s="7"/>
    </row>
    <row r="788" spans="1:6" x14ac:dyDescent="0.25">
      <c r="A788" s="6"/>
      <c r="D788" s="7"/>
      <c r="E788" s="7"/>
      <c r="F788" s="7"/>
    </row>
    <row r="789" spans="1:6" x14ac:dyDescent="0.25">
      <c r="A789" s="6"/>
      <c r="D789" s="7"/>
      <c r="E789" s="7"/>
      <c r="F789" s="7"/>
    </row>
    <row r="790" spans="1:6" x14ac:dyDescent="0.25">
      <c r="A790" s="6"/>
      <c r="D790" s="7"/>
      <c r="E790" s="7"/>
      <c r="F790" s="7"/>
    </row>
    <row r="791" spans="1:6" x14ac:dyDescent="0.25">
      <c r="A791" s="6"/>
      <c r="D791" s="7"/>
      <c r="E791" s="7"/>
      <c r="F791" s="7"/>
    </row>
    <row r="792" spans="1:6" x14ac:dyDescent="0.25">
      <c r="A792" s="6"/>
      <c r="D792" s="7"/>
      <c r="E792" s="7"/>
      <c r="F792" s="7"/>
    </row>
    <row r="793" spans="1:6" x14ac:dyDescent="0.25">
      <c r="A793" s="6"/>
      <c r="D793" s="7"/>
      <c r="E793" s="7"/>
      <c r="F793" s="7"/>
    </row>
    <row r="794" spans="1:6" x14ac:dyDescent="0.25">
      <c r="A794" s="6"/>
      <c r="D794" s="7"/>
      <c r="E794" s="7"/>
      <c r="F794" s="7"/>
    </row>
    <row r="795" spans="1:6" x14ac:dyDescent="0.25">
      <c r="A795" s="6"/>
      <c r="D795" s="7"/>
      <c r="E795" s="7"/>
      <c r="F795" s="7"/>
    </row>
    <row r="796" spans="1:6" x14ac:dyDescent="0.25">
      <c r="A796" s="6"/>
      <c r="D796" s="7"/>
      <c r="E796" s="7"/>
      <c r="F796" s="7"/>
    </row>
    <row r="797" spans="1:6" x14ac:dyDescent="0.25">
      <c r="A797" s="6"/>
      <c r="D797" s="7"/>
      <c r="E797" s="7"/>
      <c r="F797" s="7"/>
    </row>
    <row r="798" spans="1:6" x14ac:dyDescent="0.25">
      <c r="A798" s="6"/>
      <c r="D798" s="7"/>
      <c r="E798" s="7"/>
      <c r="F798" s="7"/>
    </row>
    <row r="799" spans="1:6" x14ac:dyDescent="0.25">
      <c r="A799" s="6"/>
      <c r="D799" s="7"/>
      <c r="E799" s="7"/>
      <c r="F799" s="7"/>
    </row>
    <row r="800" spans="1:6" x14ac:dyDescent="0.25">
      <c r="A800" s="6"/>
      <c r="D800" s="7"/>
      <c r="E800" s="7"/>
      <c r="F800" s="7"/>
    </row>
    <row r="801" spans="1:6" x14ac:dyDescent="0.25">
      <c r="A801" s="6"/>
      <c r="D801" s="7"/>
      <c r="E801" s="7"/>
      <c r="F801" s="7"/>
    </row>
    <row r="802" spans="1:6" x14ac:dyDescent="0.25">
      <c r="A802" s="6"/>
      <c r="D802" s="7"/>
      <c r="E802" s="7"/>
      <c r="F802" s="7"/>
    </row>
    <row r="803" spans="1:6" x14ac:dyDescent="0.25">
      <c r="A803" s="6"/>
      <c r="D803" s="7"/>
      <c r="E803" s="7"/>
      <c r="F803" s="7"/>
    </row>
    <row r="804" spans="1:6" x14ac:dyDescent="0.25">
      <c r="A804" s="6"/>
      <c r="D804" s="7"/>
      <c r="E804" s="7"/>
      <c r="F804" s="7"/>
    </row>
    <row r="805" spans="1:6" x14ac:dyDescent="0.25">
      <c r="A805" s="6"/>
      <c r="D805" s="7"/>
      <c r="E805" s="7"/>
      <c r="F805" s="7"/>
    </row>
    <row r="806" spans="1:6" x14ac:dyDescent="0.25">
      <c r="A806" s="6"/>
      <c r="D806" s="7"/>
      <c r="E806" s="7"/>
      <c r="F806" s="7"/>
    </row>
    <row r="807" spans="1:6" x14ac:dyDescent="0.25">
      <c r="A807" s="6"/>
      <c r="D807" s="7"/>
      <c r="E807" s="7"/>
      <c r="F807" s="7"/>
    </row>
    <row r="808" spans="1:6" x14ac:dyDescent="0.25">
      <c r="A808" s="6"/>
      <c r="D808" s="7"/>
      <c r="E808" s="7"/>
      <c r="F808" s="7"/>
    </row>
    <row r="809" spans="1:6" x14ac:dyDescent="0.25">
      <c r="A809" s="6"/>
      <c r="D809" s="7"/>
      <c r="E809" s="7"/>
      <c r="F809" s="7"/>
    </row>
    <row r="810" spans="1:6" x14ac:dyDescent="0.25">
      <c r="A810" s="6"/>
      <c r="D810" s="7"/>
      <c r="E810" s="7"/>
      <c r="F810" s="7"/>
    </row>
    <row r="811" spans="1:6" x14ac:dyDescent="0.25">
      <c r="A811" s="6"/>
      <c r="D811" s="7"/>
      <c r="E811" s="7"/>
      <c r="F811" s="7"/>
    </row>
    <row r="812" spans="1:6" x14ac:dyDescent="0.25">
      <c r="A812" s="6"/>
      <c r="D812" s="7"/>
      <c r="E812" s="7"/>
      <c r="F812" s="7"/>
    </row>
    <row r="813" spans="1:6" x14ac:dyDescent="0.25">
      <c r="A813" s="6"/>
      <c r="D813" s="7"/>
      <c r="E813" s="7"/>
      <c r="F813" s="7"/>
    </row>
    <row r="814" spans="1:6" x14ac:dyDescent="0.25">
      <c r="A814" s="6"/>
      <c r="D814" s="7"/>
      <c r="E814" s="7"/>
      <c r="F814" s="7"/>
    </row>
    <row r="815" spans="1:6" x14ac:dyDescent="0.25">
      <c r="A815" s="6"/>
      <c r="D815" s="7"/>
      <c r="E815" s="7"/>
      <c r="F815" s="7"/>
    </row>
    <row r="816" spans="1:6" x14ac:dyDescent="0.25">
      <c r="A816" s="6"/>
      <c r="D816" s="7"/>
      <c r="E816" s="7"/>
      <c r="F816" s="7"/>
    </row>
    <row r="817" spans="1:6" x14ac:dyDescent="0.25">
      <c r="A817" s="6"/>
      <c r="D817" s="7"/>
      <c r="E817" s="7"/>
      <c r="F817" s="7"/>
    </row>
    <row r="818" spans="1:6" x14ac:dyDescent="0.25">
      <c r="A818" s="6"/>
      <c r="D818" s="7"/>
      <c r="E818" s="7"/>
      <c r="F818" s="7"/>
    </row>
    <row r="819" spans="1:6" x14ac:dyDescent="0.25">
      <c r="A819" s="6"/>
      <c r="D819" s="7"/>
      <c r="E819" s="7"/>
      <c r="F819" s="7"/>
    </row>
    <row r="820" spans="1:6" x14ac:dyDescent="0.25">
      <c r="A820" s="6"/>
      <c r="D820" s="7"/>
      <c r="E820" s="7"/>
      <c r="F820" s="7"/>
    </row>
    <row r="821" spans="1:6" x14ac:dyDescent="0.25">
      <c r="A821" s="6"/>
      <c r="D821" s="7"/>
      <c r="E821" s="7"/>
      <c r="F821" s="7"/>
    </row>
    <row r="822" spans="1:6" x14ac:dyDescent="0.25">
      <c r="A822" s="6"/>
      <c r="D822" s="7"/>
      <c r="E822" s="7"/>
      <c r="F822" s="7"/>
    </row>
    <row r="823" spans="1:6" x14ac:dyDescent="0.25">
      <c r="A823" s="6"/>
      <c r="D823" s="7"/>
      <c r="E823" s="7"/>
      <c r="F823" s="7"/>
    </row>
    <row r="824" spans="1:6" x14ac:dyDescent="0.25">
      <c r="A824" s="6"/>
      <c r="D824" s="7"/>
      <c r="E824" s="7"/>
      <c r="F824" s="7"/>
    </row>
    <row r="825" spans="1:6" x14ac:dyDescent="0.25">
      <c r="A825" s="6"/>
      <c r="D825" s="7"/>
      <c r="E825" s="7"/>
      <c r="F825" s="7"/>
    </row>
    <row r="826" spans="1:6" x14ac:dyDescent="0.25">
      <c r="A826" s="6"/>
      <c r="D826" s="7"/>
      <c r="E826" s="7"/>
      <c r="F826" s="7"/>
    </row>
    <row r="827" spans="1:6" x14ac:dyDescent="0.25">
      <c r="A827" s="6"/>
      <c r="D827" s="7"/>
      <c r="E827" s="7"/>
      <c r="F827" s="7"/>
    </row>
    <row r="828" spans="1:6" x14ac:dyDescent="0.25">
      <c r="A828" s="6"/>
      <c r="D828" s="7"/>
      <c r="E828" s="7"/>
      <c r="F828" s="7"/>
    </row>
    <row r="829" spans="1:6" x14ac:dyDescent="0.25">
      <c r="A829" s="6"/>
      <c r="D829" s="7"/>
      <c r="E829" s="7"/>
      <c r="F829" s="7"/>
    </row>
    <row r="830" spans="1:6" x14ac:dyDescent="0.25">
      <c r="A830" s="6"/>
      <c r="D830" s="7"/>
      <c r="E830" s="7"/>
      <c r="F830" s="7"/>
    </row>
    <row r="831" spans="1:6" x14ac:dyDescent="0.25">
      <c r="A831" s="6"/>
      <c r="D831" s="7"/>
      <c r="E831" s="7"/>
      <c r="F831" s="7"/>
    </row>
    <row r="832" spans="1:6" x14ac:dyDescent="0.25">
      <c r="A832" s="6"/>
      <c r="D832" s="7"/>
      <c r="E832" s="7"/>
      <c r="F832" s="7"/>
    </row>
    <row r="833" spans="1:6" x14ac:dyDescent="0.25">
      <c r="A833" s="6"/>
      <c r="D833" s="7"/>
      <c r="E833" s="7"/>
      <c r="F833" s="7"/>
    </row>
    <row r="834" spans="1:6" x14ac:dyDescent="0.25">
      <c r="A834" s="6"/>
      <c r="D834" s="7"/>
      <c r="E834" s="7"/>
      <c r="F834" s="7"/>
    </row>
    <row r="835" spans="1:6" x14ac:dyDescent="0.25">
      <c r="A835" s="6"/>
      <c r="D835" s="7"/>
      <c r="E835" s="7"/>
      <c r="F835" s="7"/>
    </row>
    <row r="836" spans="1:6" x14ac:dyDescent="0.25">
      <c r="A836" s="6"/>
      <c r="D836" s="7"/>
      <c r="E836" s="7"/>
      <c r="F836" s="7"/>
    </row>
    <row r="837" spans="1:6" x14ac:dyDescent="0.25">
      <c r="A837" s="6"/>
      <c r="D837" s="7"/>
      <c r="E837" s="7"/>
      <c r="F837" s="7"/>
    </row>
    <row r="838" spans="1:6" x14ac:dyDescent="0.25">
      <c r="A838" s="6"/>
      <c r="D838" s="7"/>
      <c r="E838" s="7"/>
      <c r="F838" s="7"/>
    </row>
    <row r="839" spans="1:6" x14ac:dyDescent="0.25">
      <c r="A839" s="6"/>
      <c r="D839" s="7"/>
      <c r="E839" s="7"/>
      <c r="F839" s="7"/>
    </row>
    <row r="840" spans="1:6" x14ac:dyDescent="0.25">
      <c r="A840" s="6"/>
      <c r="D840" s="7"/>
      <c r="E840" s="7"/>
      <c r="F840" s="7"/>
    </row>
    <row r="841" spans="1:6" x14ac:dyDescent="0.25">
      <c r="A841" s="6"/>
      <c r="D841" s="7"/>
      <c r="E841" s="7"/>
      <c r="F841" s="7"/>
    </row>
    <row r="842" spans="1:6" x14ac:dyDescent="0.25">
      <c r="A842" s="6"/>
      <c r="D842" s="7"/>
      <c r="E842" s="7"/>
      <c r="F842" s="7"/>
    </row>
    <row r="843" spans="1:6" x14ac:dyDescent="0.25">
      <c r="A843" s="6"/>
      <c r="D843" s="7"/>
      <c r="E843" s="7"/>
      <c r="F843" s="7"/>
    </row>
    <row r="844" spans="1:6" x14ac:dyDescent="0.25">
      <c r="A844" s="6"/>
      <c r="D844" s="7"/>
      <c r="E844" s="7"/>
      <c r="F844" s="7"/>
    </row>
    <row r="845" spans="1:6" x14ac:dyDescent="0.25">
      <c r="A845" s="6"/>
      <c r="D845" s="7"/>
      <c r="E845" s="7"/>
      <c r="F845" s="7"/>
    </row>
    <row r="846" spans="1:6" x14ac:dyDescent="0.25">
      <c r="A846" s="6"/>
      <c r="D846" s="7"/>
      <c r="E846" s="7"/>
      <c r="F846" s="7"/>
    </row>
    <row r="847" spans="1:6" x14ac:dyDescent="0.25">
      <c r="A847" s="6"/>
      <c r="D847" s="7"/>
      <c r="E847" s="7"/>
      <c r="F847" s="7"/>
    </row>
    <row r="848" spans="1:6" x14ac:dyDescent="0.25">
      <c r="A848" s="6"/>
      <c r="D848" s="7"/>
      <c r="E848" s="7"/>
      <c r="F848" s="7"/>
    </row>
    <row r="849" spans="1:6" x14ac:dyDescent="0.25">
      <c r="A849" s="6"/>
      <c r="D849" s="7"/>
      <c r="E849" s="7"/>
      <c r="F849" s="7"/>
    </row>
    <row r="850" spans="1:6" x14ac:dyDescent="0.25">
      <c r="A850" s="6"/>
      <c r="D850" s="7"/>
      <c r="E850" s="7"/>
      <c r="F850" s="7"/>
    </row>
    <row r="851" spans="1:6" x14ac:dyDescent="0.25">
      <c r="A851" s="6"/>
      <c r="D851" s="7"/>
      <c r="E851" s="7"/>
      <c r="F851" s="7"/>
    </row>
    <row r="852" spans="1:6" x14ac:dyDescent="0.25">
      <c r="A852" s="6"/>
      <c r="D852" s="7"/>
      <c r="E852" s="7"/>
      <c r="F852" s="7"/>
    </row>
    <row r="853" spans="1:6" x14ac:dyDescent="0.25">
      <c r="A853" s="6"/>
      <c r="D853" s="7"/>
      <c r="E853" s="7"/>
      <c r="F853" s="7"/>
    </row>
    <row r="854" spans="1:6" x14ac:dyDescent="0.25">
      <c r="A854" s="6"/>
      <c r="D854" s="7"/>
      <c r="E854" s="7"/>
      <c r="F854" s="7"/>
    </row>
    <row r="855" spans="1:6" x14ac:dyDescent="0.25">
      <c r="A855" s="6"/>
      <c r="D855" s="7"/>
      <c r="E855" s="7"/>
      <c r="F855" s="7"/>
    </row>
    <row r="856" spans="1:6" x14ac:dyDescent="0.25">
      <c r="A856" s="6"/>
      <c r="D856" s="7"/>
      <c r="E856" s="7"/>
      <c r="F856" s="7"/>
    </row>
    <row r="857" spans="1:6" x14ac:dyDescent="0.25">
      <c r="A857" s="6"/>
      <c r="D857" s="7"/>
      <c r="E857" s="7"/>
      <c r="F857" s="7"/>
    </row>
    <row r="858" spans="1:6" x14ac:dyDescent="0.25">
      <c r="A858" s="6"/>
      <c r="D858" s="7"/>
      <c r="E858" s="7"/>
      <c r="F858" s="7"/>
    </row>
    <row r="859" spans="1:6" x14ac:dyDescent="0.25">
      <c r="A859" s="6"/>
      <c r="D859" s="7"/>
      <c r="E859" s="7"/>
      <c r="F859" s="7"/>
    </row>
    <row r="860" spans="1:6" x14ac:dyDescent="0.25">
      <c r="A860" s="6"/>
      <c r="D860" s="7"/>
      <c r="E860" s="7"/>
      <c r="F860" s="7"/>
    </row>
    <row r="861" spans="1:6" x14ac:dyDescent="0.25">
      <c r="A861" s="6"/>
      <c r="D861" s="7"/>
      <c r="E861" s="7"/>
      <c r="F861" s="7"/>
    </row>
    <row r="862" spans="1:6" x14ac:dyDescent="0.25">
      <c r="A862" s="6"/>
      <c r="D862" s="7"/>
      <c r="E862" s="7"/>
      <c r="F862" s="7"/>
    </row>
    <row r="863" spans="1:6" x14ac:dyDescent="0.25">
      <c r="A863" s="6"/>
      <c r="D863" s="7"/>
      <c r="E863" s="7"/>
      <c r="F863" s="7"/>
    </row>
    <row r="864" spans="1:6" x14ac:dyDescent="0.25">
      <c r="A864" s="6"/>
      <c r="D864" s="7"/>
      <c r="E864" s="7"/>
      <c r="F864" s="7"/>
    </row>
    <row r="865" spans="1:6" x14ac:dyDescent="0.25">
      <c r="A865" s="6"/>
      <c r="D865" s="7"/>
      <c r="E865" s="7"/>
      <c r="F865" s="7"/>
    </row>
    <row r="866" spans="1:6" x14ac:dyDescent="0.25">
      <c r="A866" s="6"/>
      <c r="D866" s="7"/>
      <c r="E866" s="7"/>
      <c r="F866" s="7"/>
    </row>
    <row r="867" spans="1:6" x14ac:dyDescent="0.25">
      <c r="A867" s="6"/>
      <c r="D867" s="7"/>
      <c r="E867" s="7"/>
      <c r="F867" s="7"/>
    </row>
    <row r="868" spans="1:6" x14ac:dyDescent="0.25">
      <c r="A868" s="6"/>
      <c r="D868" s="7"/>
      <c r="E868" s="7"/>
      <c r="F868" s="7"/>
    </row>
    <row r="869" spans="1:6" x14ac:dyDescent="0.25">
      <c r="A869" s="6"/>
      <c r="D869" s="7"/>
      <c r="E869" s="7"/>
      <c r="F869" s="7"/>
    </row>
    <row r="870" spans="1:6" x14ac:dyDescent="0.25">
      <c r="A870" s="6"/>
      <c r="D870" s="7"/>
      <c r="E870" s="7"/>
      <c r="F870" s="7"/>
    </row>
    <row r="871" spans="1:6" x14ac:dyDescent="0.25">
      <c r="A871" s="6"/>
      <c r="D871" s="7"/>
      <c r="E871" s="7"/>
      <c r="F871" s="7"/>
    </row>
    <row r="872" spans="1:6" x14ac:dyDescent="0.25">
      <c r="A872" s="6"/>
      <c r="D872" s="7"/>
      <c r="E872" s="7"/>
      <c r="F872" s="7"/>
    </row>
    <row r="873" spans="1:6" x14ac:dyDescent="0.25">
      <c r="A873" s="6"/>
      <c r="D873" s="7"/>
      <c r="E873" s="7"/>
      <c r="F873" s="7"/>
    </row>
    <row r="874" spans="1:6" x14ac:dyDescent="0.25">
      <c r="A874" s="6"/>
      <c r="D874" s="7"/>
      <c r="E874" s="7"/>
      <c r="F874" s="7"/>
    </row>
    <row r="875" spans="1:6" x14ac:dyDescent="0.25">
      <c r="A875" s="6"/>
      <c r="D875" s="7"/>
      <c r="E875" s="7"/>
      <c r="F875" s="7"/>
    </row>
    <row r="876" spans="1:6" x14ac:dyDescent="0.25">
      <c r="A876" s="6"/>
      <c r="D876" s="7"/>
      <c r="E876" s="7"/>
      <c r="F876" s="7"/>
    </row>
    <row r="877" spans="1:6" x14ac:dyDescent="0.25">
      <c r="A877" s="6"/>
      <c r="D877" s="7"/>
      <c r="E877" s="7"/>
      <c r="F877" s="7"/>
    </row>
    <row r="878" spans="1:6" x14ac:dyDescent="0.25">
      <c r="A878" s="6"/>
      <c r="D878" s="7"/>
      <c r="E878" s="7"/>
      <c r="F878" s="7"/>
    </row>
    <row r="879" spans="1:6" x14ac:dyDescent="0.25">
      <c r="A879" s="6"/>
      <c r="D879" s="7"/>
      <c r="E879" s="7"/>
      <c r="F879" s="7"/>
    </row>
    <row r="880" spans="1:6" x14ac:dyDescent="0.25">
      <c r="A880" s="6"/>
      <c r="D880" s="7"/>
      <c r="E880" s="7"/>
      <c r="F880" s="7"/>
    </row>
    <row r="881" spans="1:6" x14ac:dyDescent="0.25">
      <c r="A881" s="6"/>
      <c r="D881" s="7"/>
      <c r="E881" s="7"/>
      <c r="F881" s="7"/>
    </row>
    <row r="882" spans="1:6" x14ac:dyDescent="0.25">
      <c r="A882" s="6"/>
      <c r="D882" s="7"/>
      <c r="E882" s="7"/>
      <c r="F882" s="7"/>
    </row>
    <row r="883" spans="1:6" x14ac:dyDescent="0.25">
      <c r="A883" s="6"/>
      <c r="D883" s="7"/>
      <c r="E883" s="7"/>
      <c r="F883" s="7"/>
    </row>
    <row r="884" spans="1:6" x14ac:dyDescent="0.25">
      <c r="A884" s="6"/>
      <c r="D884" s="7"/>
      <c r="E884" s="7"/>
      <c r="F884" s="7"/>
    </row>
    <row r="885" spans="1:6" x14ac:dyDescent="0.25">
      <c r="A885" s="6"/>
      <c r="D885" s="7"/>
      <c r="E885" s="7"/>
      <c r="F885" s="7"/>
    </row>
    <row r="886" spans="1:6" x14ac:dyDescent="0.25">
      <c r="A886" s="6"/>
      <c r="D886" s="7"/>
      <c r="E886" s="7"/>
      <c r="F886" s="7"/>
    </row>
    <row r="887" spans="1:6" x14ac:dyDescent="0.25">
      <c r="A887" s="6"/>
      <c r="D887" s="7"/>
      <c r="E887" s="7"/>
      <c r="F887" s="7"/>
    </row>
    <row r="888" spans="1:6" x14ac:dyDescent="0.25">
      <c r="A888" s="6"/>
      <c r="D888" s="7"/>
      <c r="E888" s="7"/>
      <c r="F888" s="7"/>
    </row>
    <row r="889" spans="1:6" x14ac:dyDescent="0.25">
      <c r="A889" s="6"/>
      <c r="D889" s="7"/>
      <c r="E889" s="7"/>
      <c r="F889" s="7"/>
    </row>
    <row r="890" spans="1:6" x14ac:dyDescent="0.25">
      <c r="A890" s="6"/>
      <c r="D890" s="7"/>
      <c r="E890" s="7"/>
      <c r="F890" s="7"/>
    </row>
    <row r="891" spans="1:6" x14ac:dyDescent="0.25">
      <c r="A891" s="6"/>
      <c r="D891" s="7"/>
      <c r="E891" s="7"/>
      <c r="F891" s="7"/>
    </row>
    <row r="892" spans="1:6" x14ac:dyDescent="0.25">
      <c r="A892" s="6"/>
      <c r="D892" s="7"/>
      <c r="E892" s="7"/>
      <c r="F892" s="7"/>
    </row>
    <row r="893" spans="1:6" x14ac:dyDescent="0.25">
      <c r="A893" s="6"/>
      <c r="D893" s="7"/>
      <c r="E893" s="7"/>
      <c r="F893" s="7"/>
    </row>
    <row r="894" spans="1:6" x14ac:dyDescent="0.25">
      <c r="A894" s="6"/>
      <c r="D894" s="7"/>
      <c r="E894" s="7"/>
      <c r="F894" s="7"/>
    </row>
    <row r="895" spans="1:6" x14ac:dyDescent="0.25">
      <c r="A895" s="6"/>
      <c r="D895" s="7"/>
      <c r="E895" s="7"/>
      <c r="F895" s="7"/>
    </row>
    <row r="896" spans="1:6" x14ac:dyDescent="0.25">
      <c r="A896" s="6"/>
      <c r="D896" s="7"/>
      <c r="E896" s="7"/>
      <c r="F896" s="7"/>
    </row>
    <row r="897" spans="1:6" x14ac:dyDescent="0.25">
      <c r="A897" s="6"/>
      <c r="D897" s="7"/>
      <c r="E897" s="7"/>
      <c r="F897" s="7"/>
    </row>
    <row r="898" spans="1:6" x14ac:dyDescent="0.25">
      <c r="A898" s="6"/>
      <c r="D898" s="7"/>
      <c r="E898" s="7"/>
      <c r="F898" s="7"/>
    </row>
    <row r="899" spans="1:6" x14ac:dyDescent="0.25">
      <c r="A899" s="6"/>
      <c r="D899" s="7"/>
      <c r="E899" s="7"/>
      <c r="F899" s="7"/>
    </row>
    <row r="900" spans="1:6" x14ac:dyDescent="0.25">
      <c r="A900" s="6"/>
      <c r="D900" s="7"/>
      <c r="E900" s="7"/>
      <c r="F900" s="7"/>
    </row>
    <row r="901" spans="1:6" x14ac:dyDescent="0.25">
      <c r="A901" s="6"/>
      <c r="D901" s="7"/>
      <c r="E901" s="7"/>
      <c r="F901" s="7"/>
    </row>
    <row r="902" spans="1:6" x14ac:dyDescent="0.25">
      <c r="A902" s="6"/>
      <c r="D902" s="7"/>
      <c r="E902" s="7"/>
      <c r="F902" s="7"/>
    </row>
    <row r="903" spans="1:6" x14ac:dyDescent="0.25">
      <c r="A903" s="6"/>
      <c r="D903" s="7"/>
      <c r="E903" s="7"/>
      <c r="F903" s="7"/>
    </row>
    <row r="904" spans="1:6" x14ac:dyDescent="0.25">
      <c r="A904" s="6"/>
      <c r="D904" s="7"/>
      <c r="E904" s="7"/>
      <c r="F904" s="7"/>
    </row>
    <row r="905" spans="1:6" x14ac:dyDescent="0.25">
      <c r="A905" s="6"/>
      <c r="D905" s="7"/>
      <c r="E905" s="7"/>
      <c r="F905" s="7"/>
    </row>
    <row r="906" spans="1:6" x14ac:dyDescent="0.25">
      <c r="A906" s="6"/>
      <c r="D906" s="7"/>
      <c r="E906" s="7"/>
      <c r="F906" s="7"/>
    </row>
    <row r="907" spans="1:6" x14ac:dyDescent="0.25">
      <c r="A907" s="6"/>
      <c r="D907" s="7"/>
      <c r="E907" s="7"/>
      <c r="F907" s="7"/>
    </row>
    <row r="908" spans="1:6" x14ac:dyDescent="0.25">
      <c r="A908" s="6"/>
      <c r="D908" s="7"/>
      <c r="E908" s="7"/>
      <c r="F908" s="7"/>
    </row>
    <row r="909" spans="1:6" x14ac:dyDescent="0.25">
      <c r="A909" s="6"/>
      <c r="D909" s="7"/>
      <c r="E909" s="7"/>
      <c r="F909" s="7"/>
    </row>
    <row r="910" spans="1:6" x14ac:dyDescent="0.25">
      <c r="A910" s="6"/>
      <c r="D910" s="7"/>
      <c r="E910" s="7"/>
      <c r="F910" s="7"/>
    </row>
    <row r="911" spans="1:6" x14ac:dyDescent="0.25">
      <c r="A911" s="6"/>
      <c r="D911" s="7"/>
      <c r="E911" s="7"/>
      <c r="F911" s="7"/>
    </row>
    <row r="912" spans="1:6" x14ac:dyDescent="0.25">
      <c r="A912" s="6"/>
      <c r="D912" s="7"/>
      <c r="E912" s="7"/>
      <c r="F912" s="7"/>
    </row>
    <row r="913" spans="1:6" x14ac:dyDescent="0.25">
      <c r="A913" s="6"/>
      <c r="D913" s="7"/>
      <c r="E913" s="7"/>
      <c r="F913" s="7"/>
    </row>
    <row r="914" spans="1:6" x14ac:dyDescent="0.25">
      <c r="A914" s="6"/>
      <c r="D914" s="7"/>
      <c r="E914" s="7"/>
      <c r="F914" s="7"/>
    </row>
    <row r="915" spans="1:6" x14ac:dyDescent="0.25">
      <c r="A915" s="6"/>
      <c r="D915" s="7"/>
      <c r="E915" s="7"/>
      <c r="F915" s="7"/>
    </row>
    <row r="916" spans="1:6" x14ac:dyDescent="0.25">
      <c r="A916" s="6"/>
      <c r="D916" s="7"/>
      <c r="E916" s="7"/>
      <c r="F916" s="7"/>
    </row>
    <row r="917" spans="1:6" x14ac:dyDescent="0.25">
      <c r="A917" s="6"/>
      <c r="D917" s="7"/>
      <c r="E917" s="7"/>
      <c r="F917" s="7"/>
    </row>
    <row r="918" spans="1:6" x14ac:dyDescent="0.25">
      <c r="A918" s="6"/>
      <c r="D918" s="7"/>
      <c r="E918" s="7"/>
      <c r="F918" s="7"/>
    </row>
    <row r="919" spans="1:6" x14ac:dyDescent="0.25">
      <c r="A919" s="6"/>
      <c r="D919" s="7"/>
      <c r="E919" s="7"/>
      <c r="F919" s="7"/>
    </row>
    <row r="920" spans="1:6" x14ac:dyDescent="0.25">
      <c r="A920" s="6"/>
      <c r="D920" s="7"/>
      <c r="E920" s="7"/>
      <c r="F920" s="7"/>
    </row>
    <row r="921" spans="1:6" x14ac:dyDescent="0.25">
      <c r="A921" s="6"/>
      <c r="D921" s="7"/>
      <c r="E921" s="7"/>
      <c r="F921" s="7"/>
    </row>
    <row r="922" spans="1:6" x14ac:dyDescent="0.25">
      <c r="A922" s="6"/>
      <c r="D922" s="7"/>
      <c r="E922" s="7"/>
      <c r="F922" s="7"/>
    </row>
    <row r="923" spans="1:6" x14ac:dyDescent="0.25">
      <c r="A923" s="6"/>
      <c r="D923" s="7"/>
      <c r="E923" s="7"/>
      <c r="F923" s="7"/>
    </row>
    <row r="924" spans="1:6" x14ac:dyDescent="0.25">
      <c r="A924" s="6"/>
      <c r="D924" s="7"/>
      <c r="E924" s="7"/>
      <c r="F924" s="7"/>
    </row>
    <row r="925" spans="1:6" x14ac:dyDescent="0.25">
      <c r="A925" s="6"/>
      <c r="D925" s="7"/>
      <c r="E925" s="7"/>
      <c r="F925" s="7"/>
    </row>
    <row r="926" spans="1:6" x14ac:dyDescent="0.25">
      <c r="A926" s="6"/>
      <c r="D926" s="7"/>
      <c r="E926" s="7"/>
      <c r="F926" s="7"/>
    </row>
    <row r="927" spans="1:6" x14ac:dyDescent="0.25">
      <c r="A927" s="6"/>
      <c r="D927" s="7"/>
      <c r="E927" s="7"/>
      <c r="F927" s="7"/>
    </row>
    <row r="928" spans="1:6" x14ac:dyDescent="0.25">
      <c r="A928" s="6"/>
      <c r="D928" s="7"/>
      <c r="E928" s="7"/>
      <c r="F928" s="7"/>
    </row>
    <row r="929" spans="1:6" x14ac:dyDescent="0.25">
      <c r="A929" s="6"/>
      <c r="D929" s="7"/>
      <c r="E929" s="7"/>
      <c r="F929" s="7"/>
    </row>
    <row r="930" spans="1:6" x14ac:dyDescent="0.25">
      <c r="A930" s="6"/>
      <c r="D930" s="7"/>
      <c r="E930" s="7"/>
      <c r="F930" s="7"/>
    </row>
    <row r="931" spans="1:6" x14ac:dyDescent="0.25">
      <c r="A931" s="6"/>
      <c r="D931" s="7"/>
      <c r="E931" s="7"/>
      <c r="F931" s="7"/>
    </row>
    <row r="932" spans="1:6" x14ac:dyDescent="0.25">
      <c r="A932" s="6"/>
      <c r="D932" s="7"/>
      <c r="E932" s="7"/>
      <c r="F932" s="7"/>
    </row>
    <row r="933" spans="1:6" x14ac:dyDescent="0.25">
      <c r="A933" s="6"/>
      <c r="D933" s="7"/>
      <c r="E933" s="7"/>
      <c r="F933" s="7"/>
    </row>
    <row r="934" spans="1:6" x14ac:dyDescent="0.25">
      <c r="A934" s="6"/>
      <c r="D934" s="7"/>
      <c r="E934" s="7"/>
      <c r="F934" s="7"/>
    </row>
    <row r="935" spans="1:6" x14ac:dyDescent="0.25">
      <c r="A935" s="6"/>
      <c r="D935" s="7"/>
      <c r="E935" s="7"/>
      <c r="F935" s="7"/>
    </row>
    <row r="936" spans="1:6" x14ac:dyDescent="0.25">
      <c r="A936" s="6"/>
      <c r="D936" s="7"/>
      <c r="E936" s="7"/>
      <c r="F936" s="7"/>
    </row>
    <row r="937" spans="1:6" x14ac:dyDescent="0.25">
      <c r="A937" s="6"/>
      <c r="D937" s="7"/>
      <c r="E937" s="7"/>
      <c r="F937" s="7"/>
    </row>
    <row r="938" spans="1:6" x14ac:dyDescent="0.25">
      <c r="A938" s="6"/>
      <c r="D938" s="7"/>
      <c r="E938" s="7"/>
      <c r="F938" s="7"/>
    </row>
    <row r="939" spans="1:6" x14ac:dyDescent="0.25">
      <c r="A939" s="6"/>
      <c r="D939" s="7"/>
      <c r="E939" s="7"/>
      <c r="F939" s="7"/>
    </row>
    <row r="940" spans="1:6" x14ac:dyDescent="0.25">
      <c r="A940" s="6"/>
      <c r="D940" s="7"/>
      <c r="E940" s="7"/>
      <c r="F940" s="7"/>
    </row>
    <row r="941" spans="1:6" x14ac:dyDescent="0.25">
      <c r="A941" s="6"/>
      <c r="D941" s="7"/>
      <c r="E941" s="7"/>
      <c r="F941" s="7"/>
    </row>
    <row r="942" spans="1:6" x14ac:dyDescent="0.25">
      <c r="A942" s="6"/>
      <c r="D942" s="7"/>
      <c r="E942" s="7"/>
      <c r="F942" s="7"/>
    </row>
    <row r="943" spans="1:6" x14ac:dyDescent="0.25">
      <c r="A943" s="6"/>
      <c r="D943" s="7"/>
      <c r="E943" s="7"/>
      <c r="F943" s="7"/>
    </row>
    <row r="944" spans="1:6" x14ac:dyDescent="0.25">
      <c r="A944" s="6"/>
      <c r="D944" s="7"/>
      <c r="E944" s="7"/>
      <c r="F944" s="7"/>
    </row>
    <row r="945" spans="1:6" x14ac:dyDescent="0.25">
      <c r="A945" s="6"/>
      <c r="D945" s="7"/>
      <c r="E945" s="7"/>
      <c r="F945" s="7"/>
    </row>
    <row r="946" spans="1:6" x14ac:dyDescent="0.25">
      <c r="A946" s="6"/>
      <c r="D946" s="7"/>
      <c r="E946" s="7"/>
      <c r="F946" s="7"/>
    </row>
    <row r="947" spans="1:6" x14ac:dyDescent="0.25">
      <c r="A947" s="6"/>
      <c r="D947" s="7"/>
      <c r="E947" s="7"/>
      <c r="F947" s="7"/>
    </row>
    <row r="948" spans="1:6" x14ac:dyDescent="0.25">
      <c r="A948" s="6"/>
      <c r="D948" s="7"/>
      <c r="E948" s="7"/>
      <c r="F948" s="7"/>
    </row>
    <row r="949" spans="1:6" x14ac:dyDescent="0.25">
      <c r="A949" s="6"/>
      <c r="D949" s="7"/>
      <c r="E949" s="7"/>
      <c r="F949" s="7"/>
    </row>
    <row r="950" spans="1:6" x14ac:dyDescent="0.25">
      <c r="A950" s="6"/>
      <c r="D950" s="7"/>
      <c r="E950" s="7"/>
      <c r="F950" s="7"/>
    </row>
    <row r="951" spans="1:6" x14ac:dyDescent="0.25">
      <c r="A951" s="6"/>
      <c r="D951" s="7"/>
      <c r="E951" s="7"/>
      <c r="F951" s="7"/>
    </row>
    <row r="952" spans="1:6" x14ac:dyDescent="0.25">
      <c r="A952" s="6"/>
      <c r="D952" s="7"/>
      <c r="E952" s="7"/>
      <c r="F952" s="7"/>
    </row>
    <row r="953" spans="1:6" x14ac:dyDescent="0.25">
      <c r="A953" s="6"/>
      <c r="D953" s="7"/>
      <c r="E953" s="7"/>
      <c r="F953" s="7"/>
    </row>
    <row r="954" spans="1:6" x14ac:dyDescent="0.25">
      <c r="A954" s="6"/>
      <c r="D954" s="7"/>
      <c r="E954" s="7"/>
      <c r="F954" s="7"/>
    </row>
    <row r="955" spans="1:6" x14ac:dyDescent="0.25">
      <c r="A955" s="6"/>
      <c r="D955" s="7"/>
      <c r="E955" s="7"/>
      <c r="F955" s="7"/>
    </row>
    <row r="956" spans="1:6" x14ac:dyDescent="0.25">
      <c r="A956" s="6"/>
      <c r="D956" s="7"/>
      <c r="E956" s="7"/>
      <c r="F956" s="7"/>
    </row>
    <row r="957" spans="1:6" x14ac:dyDescent="0.25">
      <c r="A957" s="6"/>
      <c r="D957" s="7"/>
      <c r="E957" s="7"/>
      <c r="F957" s="7"/>
    </row>
    <row r="958" spans="1:6" x14ac:dyDescent="0.25">
      <c r="A958" s="6"/>
      <c r="D958" s="7"/>
      <c r="E958" s="7"/>
      <c r="F958" s="7"/>
    </row>
    <row r="959" spans="1:6" x14ac:dyDescent="0.25">
      <c r="A959" s="6"/>
      <c r="D959" s="7"/>
      <c r="E959" s="7"/>
      <c r="F959" s="7"/>
    </row>
    <row r="960" spans="1:6" x14ac:dyDescent="0.25">
      <c r="A960" s="6"/>
      <c r="D960" s="7"/>
      <c r="E960" s="7"/>
      <c r="F960" s="7"/>
    </row>
    <row r="961" spans="1:6" x14ac:dyDescent="0.25">
      <c r="A961" s="6"/>
      <c r="D961" s="7"/>
      <c r="E961" s="7"/>
      <c r="F961" s="7"/>
    </row>
    <row r="962" spans="1:6" x14ac:dyDescent="0.25">
      <c r="A962" s="6"/>
      <c r="D962" s="7"/>
      <c r="E962" s="7"/>
      <c r="F962" s="7"/>
    </row>
    <row r="963" spans="1:6" x14ac:dyDescent="0.25">
      <c r="A963" s="6"/>
      <c r="D963" s="7"/>
      <c r="E963" s="7"/>
      <c r="F963" s="7"/>
    </row>
    <row r="964" spans="1:6" x14ac:dyDescent="0.25">
      <c r="A964" s="6"/>
      <c r="D964" s="7"/>
      <c r="E964" s="7"/>
      <c r="F964" s="7"/>
    </row>
    <row r="965" spans="1:6" x14ac:dyDescent="0.25">
      <c r="A965" s="6"/>
      <c r="D965" s="7"/>
      <c r="E965" s="7"/>
      <c r="F965" s="7"/>
    </row>
    <row r="966" spans="1:6" x14ac:dyDescent="0.25">
      <c r="A966" s="6"/>
      <c r="D966" s="7"/>
      <c r="E966" s="7"/>
      <c r="F966" s="7"/>
    </row>
    <row r="967" spans="1:6" x14ac:dyDescent="0.25">
      <c r="A967" s="6"/>
      <c r="D967" s="7"/>
      <c r="E967" s="7"/>
      <c r="F967" s="7"/>
    </row>
    <row r="968" spans="1:6" x14ac:dyDescent="0.25">
      <c r="A968" s="6"/>
      <c r="D968" s="7"/>
      <c r="E968" s="7"/>
      <c r="F968" s="7"/>
    </row>
    <row r="969" spans="1:6" x14ac:dyDescent="0.25">
      <c r="A969" s="6"/>
      <c r="D969" s="7"/>
      <c r="E969" s="7"/>
      <c r="F969" s="7"/>
    </row>
    <row r="970" spans="1:6" x14ac:dyDescent="0.25">
      <c r="A970" s="6"/>
      <c r="D970" s="7"/>
      <c r="E970" s="7"/>
      <c r="F970" s="7"/>
    </row>
    <row r="971" spans="1:6" x14ac:dyDescent="0.25">
      <c r="A971" s="6"/>
      <c r="D971" s="7"/>
      <c r="E971" s="7"/>
      <c r="F971" s="7"/>
    </row>
    <row r="972" spans="1:6" x14ac:dyDescent="0.25">
      <c r="A972" s="6"/>
      <c r="D972" s="7"/>
      <c r="E972" s="7"/>
      <c r="F972" s="7"/>
    </row>
    <row r="973" spans="1:6" x14ac:dyDescent="0.25">
      <c r="A973" s="6"/>
      <c r="D973" s="7"/>
      <c r="E973" s="7"/>
      <c r="F973" s="7"/>
    </row>
    <row r="974" spans="1:6" x14ac:dyDescent="0.25">
      <c r="A974" s="6"/>
      <c r="D974" s="7"/>
      <c r="E974" s="7"/>
      <c r="F974" s="7"/>
    </row>
    <row r="975" spans="1:6" x14ac:dyDescent="0.25">
      <c r="A975" s="6"/>
      <c r="D975" s="7"/>
      <c r="E975" s="7"/>
      <c r="F975" s="7"/>
    </row>
    <row r="976" spans="1:6" x14ac:dyDescent="0.25">
      <c r="A976" s="6"/>
      <c r="D976" s="7"/>
      <c r="E976" s="7"/>
      <c r="F976" s="7"/>
    </row>
    <row r="977" spans="1:6" x14ac:dyDescent="0.25">
      <c r="A977" s="6"/>
      <c r="D977" s="7"/>
      <c r="E977" s="7"/>
      <c r="F977" s="7"/>
    </row>
    <row r="978" spans="1:6" x14ac:dyDescent="0.25">
      <c r="A978" s="6"/>
      <c r="D978" s="7"/>
      <c r="E978" s="7"/>
      <c r="F978" s="7"/>
    </row>
    <row r="979" spans="1:6" x14ac:dyDescent="0.25">
      <c r="A979" s="6"/>
      <c r="D979" s="7"/>
      <c r="E979" s="7"/>
      <c r="F979" s="7"/>
    </row>
    <row r="980" spans="1:6" x14ac:dyDescent="0.25">
      <c r="A980" s="6"/>
      <c r="D980" s="7"/>
      <c r="E980" s="7"/>
      <c r="F980" s="7"/>
    </row>
    <row r="981" spans="1:6" x14ac:dyDescent="0.25">
      <c r="A981" s="6"/>
      <c r="D981" s="7"/>
      <c r="E981" s="7"/>
      <c r="F981" s="7"/>
    </row>
    <row r="982" spans="1:6" x14ac:dyDescent="0.25">
      <c r="A982" s="6"/>
      <c r="D982" s="7"/>
      <c r="E982" s="7"/>
      <c r="F982" s="7"/>
    </row>
    <row r="983" spans="1:6" x14ac:dyDescent="0.25">
      <c r="A983" s="6"/>
      <c r="D983" s="7"/>
      <c r="E983" s="7"/>
      <c r="F983" s="7"/>
    </row>
    <row r="984" spans="1:6" x14ac:dyDescent="0.25">
      <c r="A984" s="6"/>
      <c r="D984" s="7"/>
      <c r="E984" s="7"/>
      <c r="F984" s="7"/>
    </row>
    <row r="985" spans="1:6" x14ac:dyDescent="0.25">
      <c r="A985" s="6"/>
      <c r="D985" s="7"/>
      <c r="E985" s="7"/>
      <c r="F985" s="7"/>
    </row>
    <row r="986" spans="1:6" x14ac:dyDescent="0.25">
      <c r="A986" s="6"/>
      <c r="D986" s="7"/>
      <c r="E986" s="7"/>
      <c r="F986" s="7"/>
    </row>
    <row r="987" spans="1:6" x14ac:dyDescent="0.25">
      <c r="A987" s="6"/>
      <c r="D987" s="7"/>
      <c r="E987" s="7"/>
      <c r="F987" s="7"/>
    </row>
    <row r="988" spans="1:6" x14ac:dyDescent="0.25">
      <c r="A988" s="6"/>
      <c r="D988" s="7"/>
      <c r="E988" s="7"/>
      <c r="F988" s="7"/>
    </row>
    <row r="989" spans="1:6" x14ac:dyDescent="0.25">
      <c r="A989" s="6"/>
      <c r="D989" s="7"/>
      <c r="E989" s="7"/>
      <c r="F989" s="7"/>
    </row>
    <row r="990" spans="1:6" x14ac:dyDescent="0.25">
      <c r="A990" s="6"/>
      <c r="D990" s="7"/>
      <c r="E990" s="7"/>
      <c r="F990" s="7"/>
    </row>
    <row r="991" spans="1:6" x14ac:dyDescent="0.25">
      <c r="A991" s="6"/>
      <c r="D991" s="7"/>
      <c r="E991" s="7"/>
      <c r="F991" s="7"/>
    </row>
    <row r="992" spans="1:6" x14ac:dyDescent="0.25">
      <c r="A992" s="6"/>
      <c r="D992" s="7"/>
      <c r="E992" s="7"/>
      <c r="F992" s="7"/>
    </row>
    <row r="993" spans="1:6" x14ac:dyDescent="0.25">
      <c r="A993" s="6"/>
      <c r="D993" s="7"/>
      <c r="E993" s="7"/>
      <c r="F993" s="7"/>
    </row>
    <row r="994" spans="1:6" x14ac:dyDescent="0.25">
      <c r="A994" s="6"/>
      <c r="D994" s="7"/>
      <c r="E994" s="7"/>
      <c r="F994" s="7"/>
    </row>
    <row r="995" spans="1:6" x14ac:dyDescent="0.25">
      <c r="A995" s="6"/>
      <c r="D995" s="7"/>
      <c r="E995" s="7"/>
      <c r="F995" s="7"/>
    </row>
    <row r="996" spans="1:6" x14ac:dyDescent="0.25">
      <c r="A996" s="6"/>
      <c r="D996" s="7"/>
      <c r="E996" s="7"/>
      <c r="F996" s="7"/>
    </row>
    <row r="997" spans="1:6" x14ac:dyDescent="0.25">
      <c r="A997" s="6"/>
      <c r="D997" s="7"/>
      <c r="E997" s="7"/>
      <c r="F997" s="7"/>
    </row>
    <row r="998" spans="1:6" x14ac:dyDescent="0.25">
      <c r="A998" s="6"/>
      <c r="D998" s="7"/>
      <c r="E998" s="7"/>
      <c r="F998" s="7"/>
    </row>
    <row r="999" spans="1:6" x14ac:dyDescent="0.25">
      <c r="A999" s="6"/>
      <c r="D999" s="7"/>
      <c r="E999" s="7"/>
      <c r="F999" s="7"/>
    </row>
    <row r="1000" spans="1:6" x14ac:dyDescent="0.25">
      <c r="A1000" s="6"/>
      <c r="D1000" s="7"/>
      <c r="E1000" s="7"/>
      <c r="F1000" s="7"/>
    </row>
    <row r="1001" spans="1:6" x14ac:dyDescent="0.25">
      <c r="A1001" s="6"/>
      <c r="D1001" s="7"/>
      <c r="E1001" s="7"/>
      <c r="F1001" s="7"/>
    </row>
    <row r="1002" spans="1:6" x14ac:dyDescent="0.25">
      <c r="A1002" s="6"/>
      <c r="D1002" s="7"/>
      <c r="E1002" s="7"/>
      <c r="F1002" s="7"/>
    </row>
    <row r="1003" spans="1:6" x14ac:dyDescent="0.25">
      <c r="A1003" s="6"/>
      <c r="D1003" s="7"/>
      <c r="E1003" s="7"/>
      <c r="F1003" s="7"/>
    </row>
    <row r="1004" spans="1:6" x14ac:dyDescent="0.25">
      <c r="A1004" s="6"/>
      <c r="D1004" s="7"/>
      <c r="E1004" s="7"/>
      <c r="F1004" s="7"/>
    </row>
    <row r="1005" spans="1:6" x14ac:dyDescent="0.25">
      <c r="A1005" s="6"/>
      <c r="D1005" s="7"/>
      <c r="E1005" s="7"/>
      <c r="F1005" s="7"/>
    </row>
    <row r="1006" spans="1:6" x14ac:dyDescent="0.25">
      <c r="A1006" s="6"/>
      <c r="D1006" s="7"/>
      <c r="E1006" s="7"/>
      <c r="F1006" s="7"/>
    </row>
    <row r="1007" spans="1:6" x14ac:dyDescent="0.25">
      <c r="A1007" s="6"/>
      <c r="D1007" s="7"/>
      <c r="E1007" s="7"/>
      <c r="F1007" s="7"/>
    </row>
    <row r="1008" spans="1:6" x14ac:dyDescent="0.25">
      <c r="A1008" s="6"/>
      <c r="D1008" s="7"/>
      <c r="E1008" s="7"/>
      <c r="F1008" s="7"/>
    </row>
    <row r="1009" spans="1:6" x14ac:dyDescent="0.25">
      <c r="A1009" s="6"/>
      <c r="D1009" s="7"/>
      <c r="E1009" s="7"/>
      <c r="F1009" s="7"/>
    </row>
    <row r="1010" spans="1:6" x14ac:dyDescent="0.25">
      <c r="A1010" s="6"/>
      <c r="D1010" s="7"/>
      <c r="E1010" s="7"/>
      <c r="F1010" s="7"/>
    </row>
    <row r="1011" spans="1:6" x14ac:dyDescent="0.25">
      <c r="A1011" s="6"/>
      <c r="D1011" s="7"/>
      <c r="E1011" s="7"/>
      <c r="F1011" s="7"/>
    </row>
    <row r="1012" spans="1:6" x14ac:dyDescent="0.25">
      <c r="A1012" s="6"/>
      <c r="D1012" s="7"/>
      <c r="E1012" s="7"/>
      <c r="F1012" s="7"/>
    </row>
    <row r="1013" spans="1:6" x14ac:dyDescent="0.25">
      <c r="A1013" s="6"/>
      <c r="D1013" s="7"/>
      <c r="E1013" s="7"/>
      <c r="F1013" s="7"/>
    </row>
    <row r="1014" spans="1:6" x14ac:dyDescent="0.25">
      <c r="A1014" s="6"/>
      <c r="D1014" s="7"/>
      <c r="E1014" s="7"/>
      <c r="F1014" s="7"/>
    </row>
    <row r="1015" spans="1:6" x14ac:dyDescent="0.25">
      <c r="A1015" s="6"/>
      <c r="D1015" s="7"/>
      <c r="E1015" s="7"/>
      <c r="F1015" s="7"/>
    </row>
    <row r="1016" spans="1:6" x14ac:dyDescent="0.25">
      <c r="A1016" s="6"/>
      <c r="D1016" s="7"/>
      <c r="E1016" s="7"/>
      <c r="F1016" s="7"/>
    </row>
    <row r="1017" spans="1:6" x14ac:dyDescent="0.25">
      <c r="A1017" s="6"/>
      <c r="D1017" s="7"/>
      <c r="E1017" s="7"/>
      <c r="F1017" s="7"/>
    </row>
    <row r="1018" spans="1:6" x14ac:dyDescent="0.25">
      <c r="A1018" s="6"/>
      <c r="D1018" s="7"/>
      <c r="E1018" s="7"/>
      <c r="F1018" s="7"/>
    </row>
    <row r="1019" spans="1:6" x14ac:dyDescent="0.25">
      <c r="A1019" s="6"/>
      <c r="D1019" s="7"/>
      <c r="E1019" s="7"/>
      <c r="F1019" s="7"/>
    </row>
    <row r="1020" spans="1:6" x14ac:dyDescent="0.25">
      <c r="A1020" s="6"/>
      <c r="D1020" s="7"/>
      <c r="E1020" s="7"/>
      <c r="F1020" s="7"/>
    </row>
    <row r="1021" spans="1:6" x14ac:dyDescent="0.25">
      <c r="A1021" s="6"/>
      <c r="D1021" s="7"/>
      <c r="E1021" s="7"/>
      <c r="F1021" s="7"/>
    </row>
    <row r="1022" spans="1:6" x14ac:dyDescent="0.25">
      <c r="A1022" s="6"/>
      <c r="D1022" s="7"/>
      <c r="E1022" s="7"/>
      <c r="F1022" s="7"/>
    </row>
    <row r="1023" spans="1:6" x14ac:dyDescent="0.25">
      <c r="A1023" s="6"/>
      <c r="D1023" s="7"/>
      <c r="E1023" s="7"/>
      <c r="F1023" s="7"/>
    </row>
    <row r="1024" spans="1:6" x14ac:dyDescent="0.25">
      <c r="A1024" s="6"/>
      <c r="D1024" s="7"/>
      <c r="E1024" s="7"/>
      <c r="F1024" s="7"/>
    </row>
    <row r="1025" spans="1:6" x14ac:dyDescent="0.25">
      <c r="A1025" s="6"/>
      <c r="D1025" s="7"/>
      <c r="E1025" s="7"/>
      <c r="F1025" s="7"/>
    </row>
    <row r="1026" spans="1:6" x14ac:dyDescent="0.25">
      <c r="A1026" s="6"/>
      <c r="D1026" s="7"/>
      <c r="E1026" s="7"/>
      <c r="F1026" s="7"/>
    </row>
    <row r="1027" spans="1:6" x14ac:dyDescent="0.25">
      <c r="A1027" s="6"/>
      <c r="D1027" s="7"/>
      <c r="E1027" s="7"/>
      <c r="F1027" s="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 Cell - All Data</vt:lpstr>
      <vt:lpstr>Cell Attached - 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cp:lastPrinted>2026-04-03T17:58:38Z</cp:lastPrinted>
  <dcterms:created xsi:type="dcterms:W3CDTF">2026-01-05T21:29:15Z</dcterms:created>
  <dcterms:modified xsi:type="dcterms:W3CDTF">2026-04-22T19:56:30Z</dcterms:modified>
</cp:coreProperties>
</file>